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omments1.xml" ContentType="application/vnd.openxmlformats-officedocument.spreadsheetml.comments+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327" codeName="{37A63EE7-654F-3FA9-A528-636911D70600}"/>
  <workbookPr codeName="ThisWorkbook"/>
  <mc:AlternateContent xmlns:mc="http://schemas.openxmlformats.org/markup-compatibility/2006">
    <mc:Choice Requires="x15">
      <x15ac:absPath xmlns:x15ac="http://schemas.microsoft.com/office/spreadsheetml/2010/11/ac" url="C:\Users\johan\Desktop\"/>
    </mc:Choice>
  </mc:AlternateContent>
  <xr:revisionPtr revIDLastSave="0" documentId="13_ncr:1_{1A3ACD55-ED71-4A63-A066-3579FDF8E0AA}" xr6:coauthVersionLast="47" xr6:coauthVersionMax="47" xr10:uidLastSave="{00000000-0000-0000-0000-000000000000}"/>
  <bookViews>
    <workbookView xWindow="-120" yWindow="-120" windowWidth="29040" windowHeight="15990" tabRatio="764" firstSheet="7" activeTab="7" xr2:uid="{00000000-000D-0000-FFFF-FFFF00000000}"/>
  </bookViews>
  <sheets>
    <sheet name="Ex1" sheetId="20" state="hidden" r:id="rId1"/>
    <sheet name="Ex2" sheetId="21" state="hidden" r:id="rId2"/>
    <sheet name="Ex3" sheetId="27" state="hidden" r:id="rId3"/>
    <sheet name="Ex4" sheetId="23" state="hidden" r:id="rId4"/>
    <sheet name="Ex5" sheetId="29" state="hidden" r:id="rId5"/>
    <sheet name="Extra1" sheetId="31" state="hidden" r:id="rId6"/>
    <sheet name="Extra2" sheetId="30" state="hidden" r:id="rId7"/>
    <sheet name="Interest Rate Caps and Floors " sheetId="42" r:id="rId8"/>
    <sheet name="Binomial interest  caps floor" sheetId="43" r:id="rId9"/>
  </sheets>
  <functionGroups builtInGroupCount="19"/>
  <definedNames>
    <definedName name="AC">#REF!</definedName>
    <definedName name="Amortization_period">#REF!</definedName>
    <definedName name="AnnualCoupon" localSheetId="0">'Ex1'!$B$5</definedName>
    <definedName name="AnnualCoupon" localSheetId="1">'Ex2'!$B$6</definedName>
    <definedName name="AnnualCoupon" localSheetId="2">#REF!</definedName>
    <definedName name="AnnualCoupon" localSheetId="4">#REF!</definedName>
    <definedName name="AnnualCoupon" localSheetId="5">#REF!</definedName>
    <definedName name="AnnualCoupon" localSheetId="6">#REF!</definedName>
    <definedName name="AnnualCoupon">#REF!</definedName>
    <definedName name="AnnualCoupon1" localSheetId="0">'Ex1'!$B$5</definedName>
    <definedName name="AnnualCoupon1" localSheetId="1">'Ex2'!$B$6</definedName>
    <definedName name="AnnualCoupon1" localSheetId="2">#REF!</definedName>
    <definedName name="AnnualCoupon1" localSheetId="4">#REF!</definedName>
    <definedName name="AnnualCoupon1" localSheetId="5">#REF!</definedName>
    <definedName name="AnnualCoupon1" localSheetId="6">#REF!</definedName>
    <definedName name="AnnualCoupon1">#REF!</definedName>
    <definedName name="AnnualCoupon2" localSheetId="0">'Ex1'!$B$6</definedName>
    <definedName name="AnnualCoupon2" localSheetId="1">'Ex2'!$B$7</definedName>
    <definedName name="AnnualCoupon2" localSheetId="2">#REF!</definedName>
    <definedName name="AnnualCoupon2" localSheetId="4">#REF!</definedName>
    <definedName name="AnnualCoupon2" localSheetId="5">#REF!</definedName>
    <definedName name="AnnualCoupon2" localSheetId="6">#REF!</definedName>
    <definedName name="AnnualCoupon2">#REF!</definedName>
    <definedName name="BondPrice" localSheetId="0">'Ex1'!$A$5</definedName>
    <definedName name="BondPrice" localSheetId="1">'Ex2'!$A$6</definedName>
    <definedName name="BondPrice" localSheetId="2">#REF!</definedName>
    <definedName name="BondPrice" localSheetId="4">#REF!</definedName>
    <definedName name="BondPrice" localSheetId="5">#REF!</definedName>
    <definedName name="BondPrice" localSheetId="6">#REF!</definedName>
    <definedName name="BondPrice">#REF!</definedName>
    <definedName name="BondPrice2" localSheetId="0">'Ex1'!$A$6</definedName>
    <definedName name="BondPrice2" localSheetId="1">'Ex2'!$A$7</definedName>
    <definedName name="BondPrice2" localSheetId="2">#REF!</definedName>
    <definedName name="BondPrice2" localSheetId="4">#REF!</definedName>
    <definedName name="BondPrice2" localSheetId="5">#REF!</definedName>
    <definedName name="BondPrice2" localSheetId="6">#REF!</definedName>
    <definedName name="BondPrice2">#REF!</definedName>
    <definedName name="call_limit">'Binomial interest  caps floor'!$C$100</definedName>
    <definedName name="call_price">'Binomial interest  caps floor'!$C$99</definedName>
    <definedName name="Compounding_freq">#REF!</definedName>
    <definedName name="coupon_per_period">'Binomial interest  caps floor'!$C$58</definedName>
    <definedName name="couponrate">'Binomial interest  caps floor'!$C$56</definedName>
    <definedName name="eff_pass_rate_period">#REF!</definedName>
    <definedName name="eff_rate_period">#REF!</definedName>
    <definedName name="expected_return">#REF!</definedName>
    <definedName name="FaceValue" localSheetId="0">'Ex1'!$H$2</definedName>
    <definedName name="FaceValue" localSheetId="1">'Ex2'!$H$2</definedName>
    <definedName name="FaceValue" localSheetId="2">#REF!</definedName>
    <definedName name="FaceValue" localSheetId="4">#REF!</definedName>
    <definedName name="FaceValue" localSheetId="5">#REF!</definedName>
    <definedName name="FaceValue" localSheetId="6">#REF!</definedName>
    <definedName name="FaceValue">#REF!</definedName>
    <definedName name="fixed_rate">#REF!</definedName>
    <definedName name="frequency">'Binomial interest  caps floor'!$C$57</definedName>
    <definedName name="Maturity" localSheetId="0">'Ex1'!$D$5</definedName>
    <definedName name="Maturity" localSheetId="1">'Ex2'!$D$6</definedName>
    <definedName name="Maturity" localSheetId="2">#REF!</definedName>
    <definedName name="Maturity" localSheetId="4">#REF!</definedName>
    <definedName name="Maturity" localSheetId="5">#REF!</definedName>
    <definedName name="Maturity" localSheetId="6">#REF!</definedName>
    <definedName name="maturity">'Binomial interest  caps floor'!$C$54</definedName>
    <definedName name="Maturity2" localSheetId="0">'Ex1'!$D$6</definedName>
    <definedName name="Maturity2" localSheetId="1">'Ex2'!$D$7</definedName>
    <definedName name="Maturity2" localSheetId="2">#REF!</definedName>
    <definedName name="Maturity2" localSheetId="4">#REF!</definedName>
    <definedName name="Maturity2" localSheetId="5">#REF!</definedName>
    <definedName name="Maturity2" localSheetId="6">#REF!</definedName>
    <definedName name="Maturity2">#REF!</definedName>
    <definedName name="mortaga_pymt_perperiod">#REF!</definedName>
    <definedName name="notional">#REF!</definedName>
    <definedName name="par">'Binomial interest  caps floor'!$C$55</definedName>
    <definedName name="Passthrough_rate">#REF!</definedName>
    <definedName name="PeriodCoupon" localSheetId="0">'Ex1'!$E$5</definedName>
    <definedName name="PeriodCoupon" localSheetId="1">'Ex2'!$E$6</definedName>
    <definedName name="PeriodCoupon" localSheetId="2">#REF!</definedName>
    <definedName name="PeriodCoupon" localSheetId="4">#REF!</definedName>
    <definedName name="PeriodCoupon" localSheetId="5">#REF!</definedName>
    <definedName name="PeriodCoupon" localSheetId="6">#REF!</definedName>
    <definedName name="PeriodCoupon">#REF!</definedName>
    <definedName name="PeriodCoupon2" localSheetId="0">'Ex1'!$E$6</definedName>
    <definedName name="PeriodCoupon2" localSheetId="1">'Ex2'!$E$7</definedName>
    <definedName name="PeriodCoupon2" localSheetId="2">#REF!</definedName>
    <definedName name="PeriodCoupon2" localSheetId="4">#REF!</definedName>
    <definedName name="PeriodCoupon2" localSheetId="5">#REF!</definedName>
    <definedName name="PeriodCoupon2" localSheetId="6">#REF!</definedName>
    <definedName name="PeriodCoupon2">#REF!</definedName>
    <definedName name="poolsize">#REF!</definedName>
    <definedName name="prob">'Binomial interest  caps floor'!$B$10</definedName>
    <definedName name="PSA">#REF!</definedName>
    <definedName name="range">#REF!</definedName>
    <definedName name="SemiAnnualPeriod" localSheetId="0">'Ex1'!$C$5</definedName>
    <definedName name="SemiAnnualPeriod" localSheetId="1">'Ex2'!$C$6</definedName>
    <definedName name="SemiAnnualPeriod" localSheetId="2">#REF!</definedName>
    <definedName name="SemiAnnualPeriod" localSheetId="4">#REF!</definedName>
    <definedName name="SemiAnnualPeriod" localSheetId="5">#REF!</definedName>
    <definedName name="SemiAnnualPeriod" localSheetId="6">#REF!</definedName>
    <definedName name="SemiAnnualPeriod">#REF!</definedName>
    <definedName name="SemiAnnualPeriod2" localSheetId="0">'Ex1'!$C$6</definedName>
    <definedName name="SemiAnnualPeriod2" localSheetId="1">'Ex2'!$C$7</definedName>
    <definedName name="SemiAnnualPeriod2" localSheetId="2">#REF!</definedName>
    <definedName name="SemiAnnualPeriod2" localSheetId="4">#REF!</definedName>
    <definedName name="SemiAnnualPeriod2" localSheetId="5">#REF!</definedName>
    <definedName name="SemiAnnualPeriod2" localSheetId="6">#REF!</definedName>
    <definedName name="SemiAnnualPeriod2">#REF!</definedName>
    <definedName name="shock">#REF!</definedName>
    <definedName name="solver_adj" localSheetId="8" hidden="1">'Binomial interest  caps floor'!$C$142</definedName>
    <definedName name="solver_adj" localSheetId="1" hidden="1">'Ex2'!$G$28</definedName>
    <definedName name="solver_adj" localSheetId="2" hidden="1">'Ex3'!#REF!</definedName>
    <definedName name="solver_adj" localSheetId="3" hidden="1">'Ex4'!$K$21</definedName>
    <definedName name="solver_adj" localSheetId="4" hidden="1">'Ex5'!#REF!</definedName>
    <definedName name="solver_adj" localSheetId="5" hidden="1">Extra1!#REF!</definedName>
    <definedName name="solver_adj" localSheetId="6" hidden="1">Extra2!#REF!</definedName>
    <definedName name="solver_adj" localSheetId="7" hidden="1">'Interest Rate Caps and Floors '!$C$59</definedName>
    <definedName name="solver_cvg" localSheetId="8" hidden="1">0.0001</definedName>
    <definedName name="solver_cvg" localSheetId="1" hidden="1">0.0001</definedName>
    <definedName name="solver_cvg" localSheetId="2" hidden="1">0.0001</definedName>
    <definedName name="solver_cvg" localSheetId="3" hidden="1">0.0001</definedName>
    <definedName name="solver_cvg" localSheetId="4" hidden="1">0.0001</definedName>
    <definedName name="solver_cvg" localSheetId="5" hidden="1">0.0001</definedName>
    <definedName name="solver_cvg" localSheetId="6" hidden="1">0.0001</definedName>
    <definedName name="solver_cvg" localSheetId="7" hidden="1">0.0001</definedName>
    <definedName name="solver_drv" localSheetId="8" hidden="1">1</definedName>
    <definedName name="solver_drv" localSheetId="1" hidden="1">1</definedName>
    <definedName name="solver_drv" localSheetId="2" hidden="1">1</definedName>
    <definedName name="solver_drv" localSheetId="3" hidden="1">1</definedName>
    <definedName name="solver_drv" localSheetId="4" hidden="1">1</definedName>
    <definedName name="solver_drv" localSheetId="5" hidden="1">1</definedName>
    <definedName name="solver_drv" localSheetId="6" hidden="1">1</definedName>
    <definedName name="solver_drv" localSheetId="7" hidden="1">1</definedName>
    <definedName name="solver_eng" localSheetId="8" hidden="1">1</definedName>
    <definedName name="solver_eng" localSheetId="3" hidden="1">1</definedName>
    <definedName name="solver_eng" localSheetId="7" hidden="1">1</definedName>
    <definedName name="solver_est" localSheetId="8" hidden="1">1</definedName>
    <definedName name="solver_est" localSheetId="1" hidden="1">1</definedName>
    <definedName name="solver_est" localSheetId="2" hidden="1">1</definedName>
    <definedName name="solver_est" localSheetId="3" hidden="1">1</definedName>
    <definedName name="solver_est" localSheetId="4" hidden="1">1</definedName>
    <definedName name="solver_est" localSheetId="5" hidden="1">1</definedName>
    <definedName name="solver_est" localSheetId="6" hidden="1">1</definedName>
    <definedName name="solver_est" localSheetId="7" hidden="1">1</definedName>
    <definedName name="solver_itr" localSheetId="8" hidden="1">2147483647</definedName>
    <definedName name="solver_itr" localSheetId="1" hidden="1">100</definedName>
    <definedName name="solver_itr" localSheetId="2" hidden="1">100</definedName>
    <definedName name="solver_itr" localSheetId="3" hidden="1">100</definedName>
    <definedName name="solver_itr" localSheetId="4" hidden="1">100</definedName>
    <definedName name="solver_itr" localSheetId="5" hidden="1">100</definedName>
    <definedName name="solver_itr" localSheetId="6" hidden="1">100</definedName>
    <definedName name="solver_itr" localSheetId="7" hidden="1">2147483647</definedName>
    <definedName name="solver_lin" localSheetId="1" hidden="1">2</definedName>
    <definedName name="solver_lin" localSheetId="2" hidden="1">2</definedName>
    <definedName name="solver_lin" localSheetId="3" hidden="1">2</definedName>
    <definedName name="solver_lin" localSheetId="4" hidden="1">2</definedName>
    <definedName name="solver_lin" localSheetId="5" hidden="1">2</definedName>
    <definedName name="solver_lin" localSheetId="6" hidden="1">2</definedName>
    <definedName name="solver_mip" localSheetId="8" hidden="1">2147483647</definedName>
    <definedName name="solver_mip" localSheetId="3" hidden="1">2147483647</definedName>
    <definedName name="solver_mip" localSheetId="7" hidden="1">2147483647</definedName>
    <definedName name="solver_mni" localSheetId="8" hidden="1">30</definedName>
    <definedName name="solver_mni" localSheetId="3" hidden="1">30</definedName>
    <definedName name="solver_mni" localSheetId="7" hidden="1">30</definedName>
    <definedName name="solver_mrt" localSheetId="8" hidden="1">0.075</definedName>
    <definedName name="solver_mrt" localSheetId="3" hidden="1">0.075</definedName>
    <definedName name="solver_mrt" localSheetId="7" hidden="1">0.075</definedName>
    <definedName name="solver_msl" localSheetId="8" hidden="1">2</definedName>
    <definedName name="solver_msl" localSheetId="3" hidden="1">2</definedName>
    <definedName name="solver_msl" localSheetId="7" hidden="1">2</definedName>
    <definedName name="solver_neg" localSheetId="8" hidden="1">1</definedName>
    <definedName name="solver_neg" localSheetId="1" hidden="1">2</definedName>
    <definedName name="solver_neg" localSheetId="2" hidden="1">2</definedName>
    <definedName name="solver_neg" localSheetId="3" hidden="1">2</definedName>
    <definedName name="solver_neg" localSheetId="4" hidden="1">2</definedName>
    <definedName name="solver_neg" localSheetId="5" hidden="1">2</definedName>
    <definedName name="solver_neg" localSheetId="6" hidden="1">2</definedName>
    <definedName name="solver_neg" localSheetId="7" hidden="1">1</definedName>
    <definedName name="solver_nod" localSheetId="8" hidden="1">2147483647</definedName>
    <definedName name="solver_nod" localSheetId="3" hidden="1">2147483647</definedName>
    <definedName name="solver_nod" localSheetId="7" hidden="1">2147483647</definedName>
    <definedName name="solver_num" localSheetId="8" hidden="1">0</definedName>
    <definedName name="solver_num" localSheetId="1" hidden="1">0</definedName>
    <definedName name="solver_num" localSheetId="2" hidden="1">0</definedName>
    <definedName name="solver_num" localSheetId="3" hidden="1">0</definedName>
    <definedName name="solver_num" localSheetId="4" hidden="1">0</definedName>
    <definedName name="solver_num" localSheetId="5" hidden="1">0</definedName>
    <definedName name="solver_num" localSheetId="6" hidden="1">0</definedName>
    <definedName name="solver_num" localSheetId="7" hidden="1">0</definedName>
    <definedName name="solver_nwt" localSheetId="8" hidden="1">1</definedName>
    <definedName name="solver_nwt" localSheetId="1" hidden="1">1</definedName>
    <definedName name="solver_nwt" localSheetId="2" hidden="1">1</definedName>
    <definedName name="solver_nwt" localSheetId="3" hidden="1">1</definedName>
    <definedName name="solver_nwt" localSheetId="4" hidden="1">1</definedName>
    <definedName name="solver_nwt" localSheetId="5" hidden="1">1</definedName>
    <definedName name="solver_nwt" localSheetId="6" hidden="1">1</definedName>
    <definedName name="solver_nwt" localSheetId="7" hidden="1">1</definedName>
    <definedName name="solver_opt" localSheetId="8" hidden="1">'Binomial interest  caps floor'!$B$139</definedName>
    <definedName name="solver_opt" localSheetId="1" hidden="1">'Ex2'!$H$28</definedName>
    <definedName name="solver_opt" localSheetId="2" hidden="1">'Ex3'!#REF!</definedName>
    <definedName name="solver_opt" localSheetId="3" hidden="1">'Ex4'!$J$21</definedName>
    <definedName name="solver_opt" localSheetId="4" hidden="1">'Ex5'!#REF!</definedName>
    <definedName name="solver_opt" localSheetId="5" hidden="1">Extra1!#REF!</definedName>
    <definedName name="solver_opt" localSheetId="6" hidden="1">Extra2!#REF!</definedName>
    <definedName name="solver_opt" localSheetId="7" hidden="1">'Interest Rate Caps and Floors '!$B$76</definedName>
    <definedName name="solver_pre" localSheetId="8" hidden="1">0.000001</definedName>
    <definedName name="solver_pre" localSheetId="1" hidden="1">0.000001</definedName>
    <definedName name="solver_pre" localSheetId="2" hidden="1">0.000001</definedName>
    <definedName name="solver_pre" localSheetId="3" hidden="1">0.000001</definedName>
    <definedName name="solver_pre" localSheetId="4" hidden="1">0.000001</definedName>
    <definedName name="solver_pre" localSheetId="5" hidden="1">0.000001</definedName>
    <definedName name="solver_pre" localSheetId="6" hidden="1">0.000001</definedName>
    <definedName name="solver_pre" localSheetId="7" hidden="1">0.000001</definedName>
    <definedName name="solver_rbv" localSheetId="8" hidden="1">1</definedName>
    <definedName name="solver_rbv" localSheetId="3" hidden="1">1</definedName>
    <definedName name="solver_rbv" localSheetId="7" hidden="1">1</definedName>
    <definedName name="solver_rlx" localSheetId="8" hidden="1">2</definedName>
    <definedName name="solver_rlx" localSheetId="3" hidden="1">1</definedName>
    <definedName name="solver_rlx" localSheetId="7" hidden="1">2</definedName>
    <definedName name="solver_rsd" localSheetId="8" hidden="1">0</definedName>
    <definedName name="solver_rsd" localSheetId="3" hidden="1">0</definedName>
    <definedName name="solver_rsd" localSheetId="7" hidden="1">0</definedName>
    <definedName name="solver_scl" localSheetId="8" hidden="1">1</definedName>
    <definedName name="solver_scl" localSheetId="1" hidden="1">2</definedName>
    <definedName name="solver_scl" localSheetId="2" hidden="1">2</definedName>
    <definedName name="solver_scl" localSheetId="3" hidden="1">2</definedName>
    <definedName name="solver_scl" localSheetId="4" hidden="1">2</definedName>
    <definedName name="solver_scl" localSheetId="5" hidden="1">2</definedName>
    <definedName name="solver_scl" localSheetId="6" hidden="1">2</definedName>
    <definedName name="solver_scl" localSheetId="7" hidden="1">1</definedName>
    <definedName name="solver_sho" localSheetId="8" hidden="1">2</definedName>
    <definedName name="solver_sho" localSheetId="1" hidden="1">2</definedName>
    <definedName name="solver_sho" localSheetId="2" hidden="1">2</definedName>
    <definedName name="solver_sho" localSheetId="3" hidden="1">2</definedName>
    <definedName name="solver_sho" localSheetId="4" hidden="1">2</definedName>
    <definedName name="solver_sho" localSheetId="5" hidden="1">2</definedName>
    <definedName name="solver_sho" localSheetId="6" hidden="1">2</definedName>
    <definedName name="solver_sho" localSheetId="7" hidden="1">2</definedName>
    <definedName name="solver_ssz" localSheetId="8" hidden="1">100</definedName>
    <definedName name="solver_ssz" localSheetId="3" hidden="1">100</definedName>
    <definedName name="solver_ssz" localSheetId="7" hidden="1">100</definedName>
    <definedName name="solver_tim" localSheetId="8" hidden="1">2147483647</definedName>
    <definedName name="solver_tim" localSheetId="1" hidden="1">100</definedName>
    <definedName name="solver_tim" localSheetId="2" hidden="1">100</definedName>
    <definedName name="solver_tim" localSheetId="3" hidden="1">100</definedName>
    <definedName name="solver_tim" localSheetId="4" hidden="1">100</definedName>
    <definedName name="solver_tim" localSheetId="5" hidden="1">100</definedName>
    <definedName name="solver_tim" localSheetId="6" hidden="1">100</definedName>
    <definedName name="solver_tim" localSheetId="7" hidden="1">2147483647</definedName>
    <definedName name="solver_tol" localSheetId="8" hidden="1">0.01</definedName>
    <definedName name="solver_tol" localSheetId="1" hidden="1">0.05</definedName>
    <definedName name="solver_tol" localSheetId="2" hidden="1">0.05</definedName>
    <definedName name="solver_tol" localSheetId="3" hidden="1">0.05</definedName>
    <definedName name="solver_tol" localSheetId="4" hidden="1">0.05</definedName>
    <definedName name="solver_tol" localSheetId="5" hidden="1">0.05</definedName>
    <definedName name="solver_tol" localSheetId="6" hidden="1">0.05</definedName>
    <definedName name="solver_tol" localSheetId="7" hidden="1">0.01</definedName>
    <definedName name="solver_typ" localSheetId="8" hidden="1">3</definedName>
    <definedName name="solver_typ" localSheetId="1" hidden="1">3</definedName>
    <definedName name="solver_typ" localSheetId="2" hidden="1">3</definedName>
    <definedName name="solver_typ" localSheetId="3" hidden="1">3</definedName>
    <definedName name="solver_typ" localSheetId="4" hidden="1">3</definedName>
    <definedName name="solver_typ" localSheetId="5" hidden="1">3</definedName>
    <definedName name="solver_typ" localSheetId="6" hidden="1">3</definedName>
    <definedName name="solver_typ" localSheetId="7" hidden="1">3</definedName>
    <definedName name="solver_val" localSheetId="8" hidden="1">0</definedName>
    <definedName name="solver_val" localSheetId="1" hidden="1">0</definedName>
    <definedName name="solver_val" localSheetId="2" hidden="1">0</definedName>
    <definedName name="solver_val" localSheetId="3" hidden="1">0</definedName>
    <definedName name="solver_val" localSheetId="4" hidden="1">0</definedName>
    <definedName name="solver_val" localSheetId="5" hidden="1">0</definedName>
    <definedName name="solver_val" localSheetId="6" hidden="1">0</definedName>
    <definedName name="solver_val" localSheetId="7" hidden="1">0</definedName>
    <definedName name="solver_ver" localSheetId="8" hidden="1">3</definedName>
    <definedName name="solver_ver" localSheetId="3" hidden="1">3</definedName>
    <definedName name="solver_ver" localSheetId="7" hidden="1">3</definedName>
    <definedName name="spread">#REF!</definedName>
    <definedName name="tranche_A_par">#REF!</definedName>
    <definedName name="tranche_A_PV">#REF!</definedName>
    <definedName name="tranche_B_par">#REF!</definedName>
    <definedName name="tranche_B_PV">#REF!</definedName>
    <definedName name="tranche_C_par">#REF!</definedName>
    <definedName name="tranche_C_PV">#REF!</definedName>
    <definedName name="WAC">#REF!</definedName>
    <definedName name="WAM">#REF!</definedName>
    <definedName name="X" localSheetId="2">#REF!</definedName>
    <definedName name="X" localSheetId="4">#REF!</definedName>
    <definedName name="X" localSheetId="5">#REF!</definedName>
    <definedName name="X" localSheetId="6">#REF!</definedName>
    <definedName name="X">#REF!</definedName>
    <definedName name="Xa" localSheetId="2">#REF!</definedName>
    <definedName name="Xa" localSheetId="4">#REF!</definedName>
    <definedName name="Xa" localSheetId="5">#REF!</definedName>
    <definedName name="Xa" localSheetId="6">#REF!</definedName>
    <definedName name="Xa">#REF!</definedName>
    <definedName name="Xb" localSheetId="2">#REF!</definedName>
    <definedName name="Xb" localSheetId="4">#REF!</definedName>
    <definedName name="Xb" localSheetId="5">#REF!</definedName>
    <definedName name="Xb" localSheetId="6">#REF!</definedName>
    <definedName name="Xb">#REF!</definedName>
    <definedName name="Xc" localSheetId="2">#REF!</definedName>
    <definedName name="Xc" localSheetId="4">#REF!</definedName>
    <definedName name="Xc" localSheetId="5">#REF!</definedName>
    <definedName name="Xc" localSheetId="6">#REF!</definedName>
    <definedName name="Xc">#REF!</definedName>
    <definedName name="XX" localSheetId="2">#REF!</definedName>
    <definedName name="XX" localSheetId="4">#REF!</definedName>
    <definedName name="XX" localSheetId="5">#REF!</definedName>
    <definedName name="XX" localSheetId="6">#REF!</definedName>
    <definedName name="XX">#REF!</definedName>
    <definedName name="Y" localSheetId="2">#REF!</definedName>
    <definedName name="Y" localSheetId="4">#REF!</definedName>
    <definedName name="Y" localSheetId="5">#REF!</definedName>
    <definedName name="Y" localSheetId="6">#REF!</definedName>
    <definedName name="Y">#REF!</definedName>
    <definedName name="Ya" localSheetId="2">#REF!</definedName>
    <definedName name="Ya" localSheetId="4">#REF!</definedName>
    <definedName name="Ya" localSheetId="5">#REF!</definedName>
    <definedName name="Ya" localSheetId="6">#REF!</definedName>
    <definedName name="Ya">#REF!</definedName>
    <definedName name="Yb" localSheetId="2">#REF!</definedName>
    <definedName name="Yb" localSheetId="4">#REF!</definedName>
    <definedName name="Yb" localSheetId="5">#REF!</definedName>
    <definedName name="Yb" localSheetId="6">#REF!</definedName>
    <definedName name="Yb">#REF!</definedName>
    <definedName name="Yc" localSheetId="2">#REF!</definedName>
    <definedName name="Yc" localSheetId="4">#REF!</definedName>
    <definedName name="Yc" localSheetId="5">#REF!</definedName>
    <definedName name="Yc" localSheetId="6">#REF!</definedName>
    <definedName name="Yc">#REF!</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65" i="42" l="1"/>
  <c r="C99" i="43" l="1"/>
  <c r="C58" i="43"/>
  <c r="A37" i="43" a="1"/>
  <c r="A37" i="43" s="1"/>
  <c r="A81" i="43" s="1" a="1"/>
  <c r="A81" i="43" s="1"/>
  <c r="C56" i="42" l="1"/>
  <c r="C57" i="42"/>
  <c r="C58" i="42"/>
  <c r="C61" i="42"/>
  <c r="C60" i="42"/>
  <c r="C28" i="42" l="1" a="1"/>
  <c r="A29" i="42"/>
  <c r="A30" i="42" s="1"/>
  <c r="A31" i="42" s="1"/>
  <c r="A32" i="42" s="1"/>
  <c r="A33" i="42" s="1"/>
  <c r="A34" i="42" s="1"/>
  <c r="A35" i="42" s="1"/>
  <c r="A36" i="42" s="1"/>
  <c r="A37" i="42" s="1"/>
  <c r="C28" i="42" l="1"/>
  <c r="D29" i="42"/>
  <c r="D31" i="42"/>
  <c r="D30" i="42"/>
  <c r="B130" i="43" l="1"/>
  <c r="C129" i="43"/>
  <c r="C130" i="43" s="1"/>
  <c r="A106" i="43"/>
  <c r="A107" i="43" s="1"/>
  <c r="B103" i="43"/>
  <c r="C102" i="43"/>
  <c r="D102" i="43" s="1"/>
  <c r="B62" i="43"/>
  <c r="A65" i="43"/>
  <c r="A66" i="43" s="1"/>
  <c r="A67" i="43" s="1"/>
  <c r="C61" i="43"/>
  <c r="D61" i="43" s="1"/>
  <c r="D62" i="43" s="1"/>
  <c r="D67" i="43" l="1"/>
  <c r="B65" i="43"/>
  <c r="B67" i="43"/>
  <c r="B66" i="43"/>
  <c r="B107" i="43"/>
  <c r="B106" i="43"/>
  <c r="D129" i="43"/>
  <c r="D130" i="43" s="1"/>
  <c r="C103" i="43"/>
  <c r="E102" i="43"/>
  <c r="D103" i="43"/>
  <c r="A108" i="43"/>
  <c r="B108" i="43" s="1"/>
  <c r="C62" i="43"/>
  <c r="E61" i="43"/>
  <c r="E62" i="43" s="1"/>
  <c r="A68" i="43"/>
  <c r="D68" i="43" s="1"/>
  <c r="B68" i="43" l="1"/>
  <c r="E68" i="43"/>
  <c r="D108" i="43"/>
  <c r="D109" i="43"/>
  <c r="C107" i="43"/>
  <c r="C108" i="43"/>
  <c r="C68" i="43"/>
  <c r="C69" i="43"/>
  <c r="C67" i="43"/>
  <c r="C66" i="43"/>
  <c r="F102" i="43"/>
  <c r="E103" i="43"/>
  <c r="A109" i="43"/>
  <c r="B109" i="43" s="1"/>
  <c r="F61" i="43"/>
  <c r="F62" i="43" s="1"/>
  <c r="A69" i="43"/>
  <c r="E69" i="43" s="1"/>
  <c r="B69" i="43" l="1"/>
  <c r="D69" i="43"/>
  <c r="F69" i="43"/>
  <c r="C109" i="43"/>
  <c r="E109" i="43"/>
  <c r="F103" i="43"/>
  <c r="G102" i="43"/>
  <c r="A110" i="43"/>
  <c r="G61" i="43"/>
  <c r="G62" i="43" s="1"/>
  <c r="A70" i="43"/>
  <c r="F70" i="43" s="1"/>
  <c r="G70" i="43" l="1"/>
  <c r="F110" i="43"/>
  <c r="B110" i="43"/>
  <c r="D110" i="43"/>
  <c r="C110" i="43"/>
  <c r="E110" i="43"/>
  <c r="D70" i="43"/>
  <c r="B70" i="43"/>
  <c r="C70" i="43"/>
  <c r="E70" i="43"/>
  <c r="A111" i="43"/>
  <c r="H102" i="43"/>
  <c r="G103" i="43"/>
  <c r="A71" i="43"/>
  <c r="H61" i="43"/>
  <c r="H62" i="43" s="1"/>
  <c r="B111" i="43" l="1"/>
  <c r="C111" i="43"/>
  <c r="D111" i="43"/>
  <c r="E111" i="43"/>
  <c r="F111" i="43"/>
  <c r="H71" i="43"/>
  <c r="B71" i="43"/>
  <c r="D71" i="43"/>
  <c r="E71" i="43"/>
  <c r="C71" i="43"/>
  <c r="F71" i="43"/>
  <c r="G111" i="43"/>
  <c r="G71" i="43"/>
  <c r="H103" i="43"/>
  <c r="I102" i="43"/>
  <c r="A112" i="43"/>
  <c r="G112" i="43" s="1"/>
  <c r="I61" i="43"/>
  <c r="I62" i="43" s="1"/>
  <c r="A72" i="43"/>
  <c r="H72" i="43" s="1"/>
  <c r="B72" i="43" l="1"/>
  <c r="D72" i="43"/>
  <c r="E72" i="43"/>
  <c r="C72" i="43"/>
  <c r="F72" i="43"/>
  <c r="G72" i="43"/>
  <c r="I73" i="43"/>
  <c r="I72" i="43"/>
  <c r="B112" i="43"/>
  <c r="C112" i="43"/>
  <c r="D112" i="43"/>
  <c r="E112" i="43"/>
  <c r="F112" i="43"/>
  <c r="H112" i="43"/>
  <c r="I103" i="43"/>
  <c r="J102" i="43"/>
  <c r="A113" i="43"/>
  <c r="H113" i="43" s="1"/>
  <c r="A73" i="43"/>
  <c r="J61" i="43"/>
  <c r="J62" i="43" s="1"/>
  <c r="J73" i="43" l="1"/>
  <c r="D73" i="43"/>
  <c r="B73" i="43"/>
  <c r="E73" i="43"/>
  <c r="C73" i="43"/>
  <c r="F73" i="43"/>
  <c r="G73" i="43"/>
  <c r="H73" i="43"/>
  <c r="B113" i="43"/>
  <c r="D113" i="43"/>
  <c r="C113" i="43"/>
  <c r="E113" i="43"/>
  <c r="F113" i="43"/>
  <c r="G113" i="43"/>
  <c r="I113" i="43"/>
  <c r="A114" i="43"/>
  <c r="I114" i="43" s="1"/>
  <c r="J103" i="43"/>
  <c r="K102" i="43"/>
  <c r="A74" i="43"/>
  <c r="K61" i="43"/>
  <c r="K62" i="43" s="1"/>
  <c r="J114" i="43" l="1"/>
  <c r="K74" i="43"/>
  <c r="D74" i="43"/>
  <c r="B74" i="43"/>
  <c r="E74" i="43"/>
  <c r="C74" i="43"/>
  <c r="F74" i="43"/>
  <c r="G74" i="43"/>
  <c r="H74" i="43"/>
  <c r="I74" i="43"/>
  <c r="B114" i="43"/>
  <c r="C114" i="43"/>
  <c r="D114" i="43"/>
  <c r="E114" i="43"/>
  <c r="F114" i="43"/>
  <c r="G114" i="43"/>
  <c r="H114" i="43"/>
  <c r="J74" i="43"/>
  <c r="A115" i="43"/>
  <c r="L102" i="43"/>
  <c r="L103" i="43" s="1"/>
  <c r="K103" i="43"/>
  <c r="L61" i="43"/>
  <c r="L62" i="43" s="1"/>
  <c r="B115" i="43" l="1"/>
  <c r="D115" i="43"/>
  <c r="C115" i="43"/>
  <c r="E115" i="43"/>
  <c r="F115" i="43"/>
  <c r="G115" i="43"/>
  <c r="H115" i="43"/>
  <c r="I115" i="43"/>
  <c r="L105" i="43"/>
  <c r="K105" i="43" s="1"/>
  <c r="L114" i="43"/>
  <c r="K113" i="43" s="1"/>
  <c r="L115" i="43"/>
  <c r="L107" i="43"/>
  <c r="K107" i="43" s="1"/>
  <c r="L109" i="43"/>
  <c r="K108" i="43" s="1"/>
  <c r="L111" i="43"/>
  <c r="L108" i="43"/>
  <c r="L113" i="43"/>
  <c r="L110" i="43"/>
  <c r="L106" i="43"/>
  <c r="L112" i="43"/>
  <c r="K112" i="43" s="1"/>
  <c r="L71" i="43"/>
  <c r="L67" i="43"/>
  <c r="L70" i="43"/>
  <c r="L72" i="43"/>
  <c r="K72" i="43" s="1"/>
  <c r="L69" i="43"/>
  <c r="K69" i="43" s="1"/>
  <c r="L68" i="43"/>
  <c r="L65" i="43"/>
  <c r="L64" i="43"/>
  <c r="K64" i="43" s="1"/>
  <c r="L73" i="43"/>
  <c r="L74" i="43"/>
  <c r="L66" i="43"/>
  <c r="J115" i="43"/>
  <c r="K115" i="43"/>
  <c r="K111" i="43"/>
  <c r="K110" i="43"/>
  <c r="K109" i="43" l="1"/>
  <c r="J108" i="43" s="1"/>
  <c r="K67" i="43"/>
  <c r="J107" i="43"/>
  <c r="K106" i="43"/>
  <c r="J105" i="43" s="1"/>
  <c r="K71" i="43"/>
  <c r="J71" i="43" s="1"/>
  <c r="J112" i="43"/>
  <c r="J106" i="43"/>
  <c r="I106" i="43" s="1"/>
  <c r="J111" i="43"/>
  <c r="K114" i="43"/>
  <c r="J113" i="43" s="1"/>
  <c r="J110" i="43"/>
  <c r="K70" i="43"/>
  <c r="J69" i="43" s="1"/>
  <c r="K66" i="43"/>
  <c r="J66" i="43" s="1"/>
  <c r="K73" i="43"/>
  <c r="J72" i="43" s="1"/>
  <c r="K65" i="43"/>
  <c r="K68" i="43"/>
  <c r="J68" i="43" s="1"/>
  <c r="I107" i="43" l="1"/>
  <c r="J109" i="43"/>
  <c r="I110" i="43"/>
  <c r="J65" i="43"/>
  <c r="I65" i="43" s="1"/>
  <c r="I111" i="43"/>
  <c r="H110" i="43" s="1"/>
  <c r="H106" i="43"/>
  <c r="I68" i="43"/>
  <c r="I71" i="43"/>
  <c r="J70" i="43"/>
  <c r="I70" i="43" s="1"/>
  <c r="I109" i="43"/>
  <c r="H109" i="43" s="1"/>
  <c r="I112" i="43"/>
  <c r="H111" i="43" s="1"/>
  <c r="I108" i="43"/>
  <c r="J64" i="43"/>
  <c r="J67" i="43"/>
  <c r="I67" i="43" s="1"/>
  <c r="I105" i="43"/>
  <c r="H105" i="43" s="1"/>
  <c r="C13" i="43"/>
  <c r="D13" i="43"/>
  <c r="E13" i="43"/>
  <c r="F13" i="43"/>
  <c r="G13" i="43"/>
  <c r="H13" i="43"/>
  <c r="I13" i="43"/>
  <c r="J13" i="43"/>
  <c r="K13" i="43"/>
  <c r="L13" i="43"/>
  <c r="B13" i="43"/>
  <c r="I64" i="43" l="1"/>
  <c r="H64" i="43" s="1"/>
  <c r="H70" i="43"/>
  <c r="I66" i="43"/>
  <c r="H66" i="43" s="1"/>
  <c r="G105" i="43"/>
  <c r="G109" i="43"/>
  <c r="I69" i="43"/>
  <c r="H69" i="43" s="1"/>
  <c r="G69" i="43" s="1"/>
  <c r="H67" i="43"/>
  <c r="G110" i="43"/>
  <c r="F109" i="43" s="1"/>
  <c r="H65" i="43"/>
  <c r="G65" i="43" s="1"/>
  <c r="H108" i="43"/>
  <c r="G108" i="43" s="1"/>
  <c r="F108" i="43" s="1"/>
  <c r="H107" i="43"/>
  <c r="B37" i="43" a="1"/>
  <c r="B40" i="43" s="1"/>
  <c r="C40" i="43"/>
  <c r="E108" i="43" l="1"/>
  <c r="H68" i="43"/>
  <c r="G68" i="43" s="1"/>
  <c r="F68" i="43" s="1"/>
  <c r="G66" i="43"/>
  <c r="F65" i="43" s="1"/>
  <c r="D40" i="43"/>
  <c r="G107" i="43"/>
  <c r="F107" i="43" s="1"/>
  <c r="E107" i="43" s="1"/>
  <c r="D107" i="43" s="1"/>
  <c r="G106" i="43"/>
  <c r="G64" i="43"/>
  <c r="F64" i="43" s="1"/>
  <c r="B45" i="43"/>
  <c r="B41" i="43"/>
  <c r="B46" i="43"/>
  <c r="B43" i="43"/>
  <c r="B42" i="43"/>
  <c r="B44" i="43"/>
  <c r="B38" i="43"/>
  <c r="B37" i="43"/>
  <c r="B39" i="43"/>
  <c r="C39" i="43"/>
  <c r="C42" i="43"/>
  <c r="C41" i="43"/>
  <c r="C43" i="43"/>
  <c r="C37" i="43"/>
  <c r="C46" i="43"/>
  <c r="C38" i="43"/>
  <c r="C45" i="43"/>
  <c r="C44" i="43"/>
  <c r="E64" i="43" l="1"/>
  <c r="G67" i="43"/>
  <c r="F67" i="43" s="1"/>
  <c r="E67" i="43" s="1"/>
  <c r="D43" i="43"/>
  <c r="D41" i="43"/>
  <c r="D45" i="43"/>
  <c r="D44" i="43"/>
  <c r="D42" i="43"/>
  <c r="D46" i="43"/>
  <c r="D39" i="43"/>
  <c r="D37" i="43"/>
  <c r="D38" i="43"/>
  <c r="F106" i="43"/>
  <c r="E106" i="43" s="1"/>
  <c r="D106" i="43" s="1"/>
  <c r="C106" i="43" s="1"/>
  <c r="F105" i="43"/>
  <c r="B81" i="43" a="1"/>
  <c r="F66" i="43" l="1"/>
  <c r="C81" i="43" a="1"/>
  <c r="C81" i="43" s="1"/>
  <c r="B81" i="43"/>
  <c r="D81" i="43" s="1"/>
  <c r="D85" i="43"/>
  <c r="D89" i="43"/>
  <c r="D82" i="43"/>
  <c r="D84" i="43"/>
  <c r="D86" i="43"/>
  <c r="D88" i="43"/>
  <c r="D90" i="43"/>
  <c r="D83" i="43"/>
  <c r="D87" i="43"/>
  <c r="E105" i="43"/>
  <c r="D105" i="43" s="1"/>
  <c r="C105" i="43" s="1"/>
  <c r="B105" i="43" s="1"/>
  <c r="E85" i="43" l="1"/>
  <c r="E88" i="43"/>
  <c r="E89" i="43"/>
  <c r="E66" i="43"/>
  <c r="D66" i="43" s="1"/>
  <c r="E65" i="43"/>
  <c r="E90" i="43"/>
  <c r="E86" i="43"/>
  <c r="E84" i="43"/>
  <c r="E82" i="43"/>
  <c r="E81" i="43"/>
  <c r="E87" i="43"/>
  <c r="E83" i="43"/>
  <c r="E92" i="43" l="1"/>
  <c r="D65" i="43"/>
  <c r="D64" i="43"/>
  <c r="D138" i="43"/>
  <c r="C64" i="43" l="1"/>
  <c r="D136" i="43"/>
  <c r="C65" i="43"/>
  <c r="D137" i="43"/>
  <c r="C137" i="43" s="1"/>
  <c r="D34" i="42"/>
  <c r="A6" i="42"/>
  <c r="D36" i="42"/>
  <c r="D35" i="42"/>
  <c r="D32" i="42"/>
  <c r="D37" i="42"/>
  <c r="H11" i="23"/>
  <c r="K17" i="31"/>
  <c r="K18" i="31"/>
  <c r="A22" i="31"/>
  <c r="A23" i="31"/>
  <c r="A24" i="31"/>
  <c r="B12" i="31"/>
  <c r="C21" i="31"/>
  <c r="B10" i="31"/>
  <c r="B21" i="31"/>
  <c r="B13" i="31"/>
  <c r="B15" i="31"/>
  <c r="C24" i="31"/>
  <c r="A25" i="31"/>
  <c r="C23" i="31"/>
  <c r="B11" i="31"/>
  <c r="B22" i="31"/>
  <c r="B23" i="31"/>
  <c r="B24" i="31"/>
  <c r="C22" i="31"/>
  <c r="Q5" i="30"/>
  <c r="P5" i="30"/>
  <c r="L5" i="30"/>
  <c r="M9" i="30"/>
  <c r="L6" i="30"/>
  <c r="A26" i="31"/>
  <c r="C25" i="31"/>
  <c r="B25" i="31"/>
  <c r="L9" i="30"/>
  <c r="B26" i="31"/>
  <c r="A27" i="31"/>
  <c r="C26" i="31"/>
  <c r="G21" i="30"/>
  <c r="G20" i="30"/>
  <c r="G19" i="30"/>
  <c r="G18" i="30"/>
  <c r="G17" i="30"/>
  <c r="G16" i="30"/>
  <c r="G15" i="30"/>
  <c r="G14" i="30"/>
  <c r="G13" i="30"/>
  <c r="G12" i="30"/>
  <c r="G11" i="30"/>
  <c r="A11" i="30"/>
  <c r="G10" i="30"/>
  <c r="A10" i="30"/>
  <c r="G9" i="30"/>
  <c r="C27" i="31"/>
  <c r="B27" i="31"/>
  <c r="A28" i="31"/>
  <c r="A12" i="30"/>
  <c r="L11" i="30"/>
  <c r="M10" i="30"/>
  <c r="M11" i="30"/>
  <c r="M12" i="30"/>
  <c r="L10" i="30"/>
  <c r="K10" i="30"/>
  <c r="K11" i="30"/>
  <c r="K12" i="30"/>
  <c r="A29" i="31"/>
  <c r="C28" i="31"/>
  <c r="B28" i="31"/>
  <c r="A13" i="30"/>
  <c r="K13" i="30"/>
  <c r="L12" i="30"/>
  <c r="K10" i="29"/>
  <c r="K11" i="29"/>
  <c r="K12" i="29"/>
  <c r="K13" i="29"/>
  <c r="K14" i="29"/>
  <c r="K15" i="29"/>
  <c r="K16" i="29"/>
  <c r="K17" i="29"/>
  <c r="K18" i="29"/>
  <c r="K19" i="29"/>
  <c r="K20" i="29"/>
  <c r="K21" i="29"/>
  <c r="K22" i="29"/>
  <c r="K23" i="29"/>
  <c r="K24" i="29"/>
  <c r="K25" i="29"/>
  <c r="K26" i="29"/>
  <c r="K27" i="29"/>
  <c r="K28" i="29"/>
  <c r="K29" i="29"/>
  <c r="K30" i="29"/>
  <c r="K31" i="29"/>
  <c r="K32" i="29"/>
  <c r="K33" i="29"/>
  <c r="K34" i="29"/>
  <c r="K35" i="29"/>
  <c r="K36" i="29"/>
  <c r="K37" i="29"/>
  <c r="K38" i="29"/>
  <c r="K39" i="29"/>
  <c r="K40" i="29"/>
  <c r="K41" i="29"/>
  <c r="K42" i="29"/>
  <c r="K43" i="29"/>
  <c r="K44" i="29"/>
  <c r="K45" i="29"/>
  <c r="K46" i="29"/>
  <c r="K47" i="29"/>
  <c r="K48" i="29"/>
  <c r="K49" i="29"/>
  <c r="K50" i="29"/>
  <c r="K51" i="29"/>
  <c r="K52" i="29"/>
  <c r="K53" i="29"/>
  <c r="K54" i="29"/>
  <c r="K55" i="29"/>
  <c r="K56" i="29"/>
  <c r="K57" i="29"/>
  <c r="K58" i="29"/>
  <c r="K59" i="29"/>
  <c r="K60" i="29"/>
  <c r="K61" i="29"/>
  <c r="K62" i="29"/>
  <c r="K63" i="29"/>
  <c r="K64" i="29"/>
  <c r="K65" i="29"/>
  <c r="K66" i="29"/>
  <c r="K67" i="29"/>
  <c r="K68" i="29"/>
  <c r="K69" i="29"/>
  <c r="K70" i="29"/>
  <c r="K71" i="29"/>
  <c r="K72" i="29"/>
  <c r="K73" i="29"/>
  <c r="K74" i="29"/>
  <c r="K75" i="29"/>
  <c r="K76" i="29"/>
  <c r="K77" i="29"/>
  <c r="K78" i="29"/>
  <c r="K79" i="29"/>
  <c r="K80" i="29"/>
  <c r="K81" i="29"/>
  <c r="K82" i="29"/>
  <c r="K83" i="29"/>
  <c r="K84" i="29"/>
  <c r="K85" i="29"/>
  <c r="K86" i="29"/>
  <c r="K87" i="29"/>
  <c r="K88" i="29"/>
  <c r="K89" i="29"/>
  <c r="K90" i="29"/>
  <c r="K91" i="29"/>
  <c r="K92" i="29"/>
  <c r="K93" i="29"/>
  <c r="K94" i="29"/>
  <c r="K95" i="29"/>
  <c r="K96" i="29"/>
  <c r="K97" i="29"/>
  <c r="K98" i="29"/>
  <c r="K99" i="29"/>
  <c r="K100" i="29"/>
  <c r="K101" i="29"/>
  <c r="K102" i="29"/>
  <c r="K103" i="29"/>
  <c r="K104" i="29"/>
  <c r="K105" i="29"/>
  <c r="K106" i="29"/>
  <c r="K107" i="29"/>
  <c r="K108" i="29"/>
  <c r="K109" i="29"/>
  <c r="K110" i="29"/>
  <c r="K111" i="29"/>
  <c r="K112" i="29"/>
  <c r="K113" i="29"/>
  <c r="K114" i="29"/>
  <c r="K115" i="29"/>
  <c r="K116" i="29"/>
  <c r="K117" i="29"/>
  <c r="K118" i="29"/>
  <c r="K119" i="29"/>
  <c r="K120" i="29"/>
  <c r="K121" i="29"/>
  <c r="K122" i="29"/>
  <c r="K123" i="29"/>
  <c r="K124" i="29"/>
  <c r="K125" i="29"/>
  <c r="K126" i="29"/>
  <c r="K127" i="29"/>
  <c r="K128" i="29"/>
  <c r="B29" i="31"/>
  <c r="C29" i="31"/>
  <c r="A30" i="31"/>
  <c r="A14" i="30"/>
  <c r="L13" i="30"/>
  <c r="K14" i="30"/>
  <c r="M13" i="30"/>
  <c r="G21" i="29"/>
  <c r="G20" i="29"/>
  <c r="G19" i="29"/>
  <c r="G18" i="29"/>
  <c r="G17" i="29"/>
  <c r="G16" i="29"/>
  <c r="G15" i="29"/>
  <c r="G14" i="29"/>
  <c r="G13" i="29"/>
  <c r="G12" i="29"/>
  <c r="G11" i="29"/>
  <c r="G10" i="29"/>
  <c r="A10" i="29"/>
  <c r="G9" i="29"/>
  <c r="A31" i="31"/>
  <c r="C30" i="31"/>
  <c r="B30" i="31"/>
  <c r="M14" i="30"/>
  <c r="A15" i="30"/>
  <c r="K15" i="30"/>
  <c r="L14" i="30"/>
  <c r="A32" i="31"/>
  <c r="B31" i="31"/>
  <c r="C31" i="31"/>
  <c r="M15" i="30"/>
  <c r="A16" i="30"/>
  <c r="L15" i="30"/>
  <c r="A11" i="29"/>
  <c r="C32" i="31"/>
  <c r="B32" i="31"/>
  <c r="A33" i="31"/>
  <c r="E32" i="31"/>
  <c r="A17" i="30"/>
  <c r="L16" i="30"/>
  <c r="M16" i="30"/>
  <c r="K16" i="30"/>
  <c r="K17" i="30"/>
  <c r="A12" i="29"/>
  <c r="A17" i="27"/>
  <c r="A18" i="27"/>
  <c r="B11" i="27"/>
  <c r="B9" i="27"/>
  <c r="B10" i="27"/>
  <c r="A34" i="31"/>
  <c r="E33" i="31"/>
  <c r="C33" i="31"/>
  <c r="B33" i="31"/>
  <c r="M17" i="30"/>
  <c r="A18" i="30"/>
  <c r="L17" i="30"/>
  <c r="A13" i="29"/>
  <c r="C18" i="27"/>
  <c r="A19" i="27"/>
  <c r="B16" i="27"/>
  <c r="C17" i="27"/>
  <c r="C16" i="27"/>
  <c r="B17" i="27"/>
  <c r="B18" i="27"/>
  <c r="B19" i="27"/>
  <c r="C34" i="31"/>
  <c r="B34" i="31"/>
  <c r="E34" i="31"/>
  <c r="A35" i="31"/>
  <c r="A19" i="30"/>
  <c r="L18" i="30"/>
  <c r="K18" i="30"/>
  <c r="K19" i="30"/>
  <c r="M18" i="30"/>
  <c r="A14" i="29"/>
  <c r="C19" i="27"/>
  <c r="A20" i="27"/>
  <c r="A36" i="31"/>
  <c r="E35" i="31"/>
  <c r="C35" i="31"/>
  <c r="B35" i="31"/>
  <c r="M19" i="30"/>
  <c r="A20" i="30"/>
  <c r="K20" i="30"/>
  <c r="L19" i="30"/>
  <c r="A15" i="29"/>
  <c r="A21" i="27"/>
  <c r="C20" i="27"/>
  <c r="B20" i="27"/>
  <c r="C36" i="31"/>
  <c r="B36" i="31"/>
  <c r="A37" i="31"/>
  <c r="E36" i="31"/>
  <c r="A21" i="30"/>
  <c r="L20" i="30"/>
  <c r="K21" i="30"/>
  <c r="M20" i="30"/>
  <c r="A16" i="29"/>
  <c r="B21" i="27"/>
  <c r="A22" i="27"/>
  <c r="C21" i="27"/>
  <c r="G21" i="23"/>
  <c r="G20" i="23"/>
  <c r="G19" i="23"/>
  <c r="G18" i="23"/>
  <c r="G17" i="23"/>
  <c r="G16" i="23"/>
  <c r="G15" i="23"/>
  <c r="G14" i="23"/>
  <c r="G13" i="23"/>
  <c r="G12" i="23"/>
  <c r="G11" i="23"/>
  <c r="A38" i="31"/>
  <c r="E37" i="31"/>
  <c r="C37" i="31"/>
  <c r="B37" i="31"/>
  <c r="M21" i="30"/>
  <c r="A22" i="30"/>
  <c r="L21" i="30"/>
  <c r="A17" i="29"/>
  <c r="A23" i="27"/>
  <c r="C22" i="27"/>
  <c r="B22" i="27"/>
  <c r="C38" i="31"/>
  <c r="B38" i="31"/>
  <c r="E38" i="31"/>
  <c r="A39" i="31"/>
  <c r="M22" i="30"/>
  <c r="A23" i="30"/>
  <c r="L22" i="30"/>
  <c r="K22" i="30"/>
  <c r="K23" i="30"/>
  <c r="A18" i="29"/>
  <c r="A24" i="27"/>
  <c r="B23" i="27"/>
  <c r="C23" i="27"/>
  <c r="A40" i="31"/>
  <c r="E39" i="31"/>
  <c r="C39" i="31"/>
  <c r="B39" i="31"/>
  <c r="A24" i="30"/>
  <c r="L23" i="30"/>
  <c r="M23" i="30"/>
  <c r="A19" i="29"/>
  <c r="C24" i="27"/>
  <c r="B24" i="27"/>
  <c r="A25" i="27"/>
  <c r="E40" i="31"/>
  <c r="C40" i="31"/>
  <c r="B40" i="31"/>
  <c r="A41" i="31"/>
  <c r="M24" i="30"/>
  <c r="A25" i="30"/>
  <c r="L24" i="30"/>
  <c r="K24" i="30"/>
  <c r="A20" i="29"/>
  <c r="A26" i="27"/>
  <c r="C25" i="27"/>
  <c r="B25" i="27"/>
  <c r="H21" i="23"/>
  <c r="H20" i="23"/>
  <c r="H19" i="23"/>
  <c r="H18" i="23"/>
  <c r="H17" i="23"/>
  <c r="H16" i="23"/>
  <c r="H15" i="23"/>
  <c r="H14" i="23"/>
  <c r="H13" i="23"/>
  <c r="H12" i="23"/>
  <c r="G10" i="23"/>
  <c r="K10" i="23"/>
  <c r="G9" i="23"/>
  <c r="E28" i="21"/>
  <c r="E24" i="21"/>
  <c r="E22" i="21"/>
  <c r="E20" i="21"/>
  <c r="D20" i="21"/>
  <c r="C20" i="21"/>
  <c r="E19" i="21"/>
  <c r="G19" i="21"/>
  <c r="C19" i="21"/>
  <c r="E15" i="21"/>
  <c r="E14" i="21"/>
  <c r="E13" i="21"/>
  <c r="E12" i="21"/>
  <c r="E11" i="21"/>
  <c r="E10" i="21"/>
  <c r="E9" i="21"/>
  <c r="E8" i="21"/>
  <c r="E7" i="21"/>
  <c r="D7" i="21"/>
  <c r="C7" i="21"/>
  <c r="E6" i="21"/>
  <c r="G6" i="21"/>
  <c r="C6" i="21"/>
  <c r="E8" i="20"/>
  <c r="E7" i="20"/>
  <c r="E6" i="20"/>
  <c r="D6" i="20"/>
  <c r="C6" i="20"/>
  <c r="E5" i="20"/>
  <c r="G5" i="20"/>
  <c r="C5" i="20"/>
  <c r="A42" i="31"/>
  <c r="E41" i="31"/>
  <c r="C41" i="31"/>
  <c r="B41" i="31"/>
  <c r="K25" i="30"/>
  <c r="A26" i="30"/>
  <c r="L25" i="30"/>
  <c r="M25" i="30"/>
  <c r="K9" i="23"/>
  <c r="A21" i="29"/>
  <c r="F6" i="21"/>
  <c r="G7" i="21"/>
  <c r="F7" i="21"/>
  <c r="D8" i="21"/>
  <c r="C8" i="21"/>
  <c r="D7" i="20"/>
  <c r="C7" i="20"/>
  <c r="C26" i="27"/>
  <c r="B26" i="27"/>
  <c r="A27" i="27"/>
  <c r="F19" i="21"/>
  <c r="G20" i="21"/>
  <c r="F20" i="21"/>
  <c r="F5" i="20"/>
  <c r="G6" i="20"/>
  <c r="F6" i="20"/>
  <c r="D21" i="21"/>
  <c r="C21" i="21"/>
  <c r="D8" i="20"/>
  <c r="C8" i="20"/>
  <c r="D9" i="21"/>
  <c r="C42" i="31"/>
  <c r="B42" i="31"/>
  <c r="A43" i="31"/>
  <c r="E42" i="31"/>
  <c r="A27" i="30"/>
  <c r="L26" i="30"/>
  <c r="K26" i="30"/>
  <c r="K27" i="30"/>
  <c r="M26" i="30"/>
  <c r="A22" i="29"/>
  <c r="D22" i="21"/>
  <c r="C22" i="21"/>
  <c r="G21" i="21"/>
  <c r="F21" i="21"/>
  <c r="F22" i="21"/>
  <c r="C27" i="27"/>
  <c r="A28" i="27"/>
  <c r="B27" i="27"/>
  <c r="G7" i="20"/>
  <c r="F7" i="20"/>
  <c r="G8" i="21"/>
  <c r="F8" i="21"/>
  <c r="D23" i="21"/>
  <c r="E27" i="27"/>
  <c r="D10" i="21"/>
  <c r="C9" i="21"/>
  <c r="G9" i="21"/>
  <c r="F9" i="21"/>
  <c r="A44" i="31"/>
  <c r="E43" i="31"/>
  <c r="C43" i="31"/>
  <c r="B43" i="31"/>
  <c r="M27" i="30"/>
  <c r="A28" i="30"/>
  <c r="L27" i="30"/>
  <c r="A23" i="29"/>
  <c r="A29" i="27"/>
  <c r="C28" i="27"/>
  <c r="B28" i="27"/>
  <c r="H22" i="21"/>
  <c r="G8" i="20"/>
  <c r="F8" i="20"/>
  <c r="D24" i="21"/>
  <c r="C23" i="21"/>
  <c r="E28" i="27"/>
  <c r="D11" i="21"/>
  <c r="C10" i="21"/>
  <c r="G10" i="21"/>
  <c r="F10" i="21"/>
  <c r="C44" i="31"/>
  <c r="B44" i="31"/>
  <c r="E44" i="31"/>
  <c r="A45" i="31"/>
  <c r="A29" i="30"/>
  <c r="L28" i="30"/>
  <c r="K28" i="30"/>
  <c r="M28" i="30"/>
  <c r="A24" i="29"/>
  <c r="B29" i="27"/>
  <c r="C29" i="27"/>
  <c r="A30" i="27"/>
  <c r="D25" i="21"/>
  <c r="C24" i="21"/>
  <c r="G23" i="21"/>
  <c r="F23" i="21"/>
  <c r="F24" i="21"/>
  <c r="E29" i="27"/>
  <c r="D12" i="21"/>
  <c r="C11" i="21"/>
  <c r="A46" i="31"/>
  <c r="E45" i="31"/>
  <c r="C45" i="31"/>
  <c r="B45" i="31"/>
  <c r="K29" i="30"/>
  <c r="A30" i="30"/>
  <c r="L29" i="30"/>
  <c r="M29" i="30"/>
  <c r="A25" i="29"/>
  <c r="B30" i="27"/>
  <c r="A31" i="27"/>
  <c r="C30" i="27"/>
  <c r="H24" i="21"/>
  <c r="G11" i="21"/>
  <c r="F11" i="21"/>
  <c r="D26" i="21"/>
  <c r="C25" i="21"/>
  <c r="E30" i="27"/>
  <c r="C12" i="21"/>
  <c r="D13" i="21"/>
  <c r="C46" i="31"/>
  <c r="B46" i="31"/>
  <c r="A47" i="31"/>
  <c r="E46" i="31"/>
  <c r="M30" i="30"/>
  <c r="A31" i="30"/>
  <c r="L30" i="30"/>
  <c r="K30" i="30"/>
  <c r="K31" i="30"/>
  <c r="A26" i="29"/>
  <c r="C31" i="27"/>
  <c r="B31" i="27"/>
  <c r="A32" i="27"/>
  <c r="G12" i="21"/>
  <c r="F12" i="21"/>
  <c r="D27" i="21"/>
  <c r="C26" i="21"/>
  <c r="E31" i="27"/>
  <c r="C13" i="21"/>
  <c r="D14" i="21"/>
  <c r="A48" i="31"/>
  <c r="E47" i="31"/>
  <c r="C47" i="31"/>
  <c r="B47" i="31"/>
  <c r="A32" i="30"/>
  <c r="L31" i="30"/>
  <c r="M31" i="30"/>
  <c r="K32" i="30"/>
  <c r="A27" i="29"/>
  <c r="A33" i="27"/>
  <c r="C32" i="27"/>
  <c r="B32" i="27"/>
  <c r="G13" i="21"/>
  <c r="F13" i="21"/>
  <c r="D28" i="21"/>
  <c r="C28" i="21"/>
  <c r="G25" i="21"/>
  <c r="F25" i="21"/>
  <c r="C27" i="21"/>
  <c r="E32" i="27"/>
  <c r="D15" i="21"/>
  <c r="C15" i="21"/>
  <c r="C14" i="21"/>
  <c r="E48" i="31"/>
  <c r="C48" i="31"/>
  <c r="B48" i="31"/>
  <c r="A49" i="31"/>
  <c r="M32" i="30"/>
  <c r="A33" i="30"/>
  <c r="L32" i="30"/>
  <c r="A28" i="29"/>
  <c r="C33" i="27"/>
  <c r="A34" i="27"/>
  <c r="B33" i="27"/>
  <c r="G14" i="21"/>
  <c r="F14" i="21"/>
  <c r="G27" i="21"/>
  <c r="G26" i="21"/>
  <c r="F26" i="21"/>
  <c r="E33" i="27"/>
  <c r="A50" i="31"/>
  <c r="E49" i="31"/>
  <c r="C49" i="31"/>
  <c r="B49" i="31"/>
  <c r="A34" i="30"/>
  <c r="L33" i="30"/>
  <c r="K33" i="30"/>
  <c r="K34" i="30"/>
  <c r="M33" i="30"/>
  <c r="A29" i="29"/>
  <c r="A35" i="27"/>
  <c r="B34" i="27"/>
  <c r="C34" i="27"/>
  <c r="F27" i="21"/>
  <c r="F28" i="21"/>
  <c r="H28" i="21"/>
  <c r="G15" i="21"/>
  <c r="F15" i="21"/>
  <c r="E34" i="27"/>
  <c r="E50" i="31"/>
  <c r="C50" i="31"/>
  <c r="B50" i="31"/>
  <c r="A51" i="31"/>
  <c r="M34" i="30"/>
  <c r="A35" i="30"/>
  <c r="L34" i="30"/>
  <c r="A30" i="29"/>
  <c r="B35" i="27"/>
  <c r="C35" i="27"/>
  <c r="A36" i="27"/>
  <c r="E35" i="27"/>
  <c r="A52" i="31"/>
  <c r="E51" i="31"/>
  <c r="C51" i="31"/>
  <c r="B51" i="31"/>
  <c r="A36" i="30"/>
  <c r="L35" i="30"/>
  <c r="K35" i="30"/>
  <c r="K36" i="30"/>
  <c r="M35" i="30"/>
  <c r="A31" i="29"/>
  <c r="C36" i="27"/>
  <c r="B36" i="27"/>
  <c r="A37" i="27"/>
  <c r="E36" i="27"/>
  <c r="E52" i="31"/>
  <c r="C52" i="31"/>
  <c r="B52" i="31"/>
  <c r="A53" i="31"/>
  <c r="M36" i="30"/>
  <c r="A37" i="30"/>
  <c r="K37" i="30"/>
  <c r="L36" i="30"/>
  <c r="A32" i="29"/>
  <c r="C37" i="27"/>
  <c r="B37" i="27"/>
  <c r="A38" i="27"/>
  <c r="E37" i="27"/>
  <c r="A54" i="31"/>
  <c r="E53" i="31"/>
  <c r="C53" i="31"/>
  <c r="B53" i="31"/>
  <c r="M37" i="30"/>
  <c r="A38" i="30"/>
  <c r="K38" i="30"/>
  <c r="L37" i="30"/>
  <c r="A33" i="29"/>
  <c r="A39" i="27"/>
  <c r="B38" i="27"/>
  <c r="C38" i="27"/>
  <c r="E38" i="27"/>
  <c r="C54" i="31"/>
  <c r="B54" i="31"/>
  <c r="E54" i="31"/>
  <c r="A55" i="31"/>
  <c r="M38" i="30"/>
  <c r="A39" i="30"/>
  <c r="L38" i="30"/>
  <c r="A34" i="29"/>
  <c r="B39" i="27"/>
  <c r="C39" i="27"/>
  <c r="A40" i="27"/>
  <c r="E39" i="27"/>
  <c r="A56" i="31"/>
  <c r="E55" i="31"/>
  <c r="C55" i="31"/>
  <c r="B55" i="31"/>
  <c r="M39" i="30"/>
  <c r="A40" i="30"/>
  <c r="L39" i="30"/>
  <c r="K39" i="30"/>
  <c r="K40" i="30"/>
  <c r="A35" i="29"/>
  <c r="A41" i="27"/>
  <c r="C40" i="27"/>
  <c r="B40" i="27"/>
  <c r="E40" i="27"/>
  <c r="C56" i="31"/>
  <c r="B56" i="31"/>
  <c r="E56" i="31"/>
  <c r="A57" i="31"/>
  <c r="A41" i="30"/>
  <c r="K41" i="30"/>
  <c r="L40" i="30"/>
  <c r="M40" i="30"/>
  <c r="A36" i="29"/>
  <c r="C41" i="27"/>
  <c r="A42" i="27"/>
  <c r="B41" i="27"/>
  <c r="E41" i="27"/>
  <c r="A58" i="31"/>
  <c r="E57" i="31"/>
  <c r="C57" i="31"/>
  <c r="B57" i="31"/>
  <c r="M41" i="30"/>
  <c r="A42" i="30"/>
  <c r="L41" i="30"/>
  <c r="K42" i="30"/>
  <c r="A37" i="29"/>
  <c r="B42" i="27"/>
  <c r="A43" i="27"/>
  <c r="C42" i="27"/>
  <c r="E42" i="27"/>
  <c r="C58" i="31"/>
  <c r="B58" i="31"/>
  <c r="A59" i="31"/>
  <c r="E58" i="31"/>
  <c r="A43" i="30"/>
  <c r="L42" i="30"/>
  <c r="M42" i="30"/>
  <c r="A38" i="29"/>
  <c r="C43" i="27"/>
  <c r="B43" i="27"/>
  <c r="A44" i="27"/>
  <c r="E43" i="27"/>
  <c r="A60" i="31"/>
  <c r="E59" i="31"/>
  <c r="C59" i="31"/>
  <c r="B59" i="31"/>
  <c r="A44" i="30"/>
  <c r="L43" i="30"/>
  <c r="K43" i="30"/>
  <c r="K44" i="30"/>
  <c r="M43" i="30"/>
  <c r="A39" i="29"/>
  <c r="A45" i="27"/>
  <c r="C44" i="27"/>
  <c r="B44" i="27"/>
  <c r="E44" i="27"/>
  <c r="E60" i="31"/>
  <c r="C60" i="31"/>
  <c r="B60" i="31"/>
  <c r="A61" i="31"/>
  <c r="M44" i="30"/>
  <c r="A45" i="30"/>
  <c r="L44" i="30"/>
  <c r="A40" i="29"/>
  <c r="B45" i="27"/>
  <c r="C45" i="27"/>
  <c r="A46" i="27"/>
  <c r="E45" i="27"/>
  <c r="A62" i="31"/>
  <c r="E61" i="31"/>
  <c r="C61" i="31"/>
  <c r="B61" i="31"/>
  <c r="M45" i="30"/>
  <c r="A46" i="30"/>
  <c r="L45" i="30"/>
  <c r="K45" i="30"/>
  <c r="K46" i="30"/>
  <c r="A41" i="29"/>
  <c r="A47" i="27"/>
  <c r="B46" i="27"/>
  <c r="C46" i="27"/>
  <c r="E46" i="27"/>
  <c r="E62" i="31"/>
  <c r="C62" i="31"/>
  <c r="B62" i="31"/>
  <c r="A63" i="31"/>
  <c r="A47" i="30"/>
  <c r="L46" i="30"/>
  <c r="M46" i="30"/>
  <c r="A42" i="29"/>
  <c r="C47" i="27"/>
  <c r="B47" i="27"/>
  <c r="A48" i="27"/>
  <c r="E47" i="27"/>
  <c r="A64" i="31"/>
  <c r="E63" i="31"/>
  <c r="C63" i="31"/>
  <c r="B63" i="31"/>
  <c r="M47" i="30"/>
  <c r="A48" i="30"/>
  <c r="L47" i="30"/>
  <c r="K47" i="30"/>
  <c r="A43" i="29"/>
  <c r="C48" i="27"/>
  <c r="B48" i="27"/>
  <c r="A49" i="27"/>
  <c r="E48" i="27"/>
  <c r="E64" i="31"/>
  <c r="C64" i="31"/>
  <c r="B64" i="31"/>
  <c r="A65" i="31"/>
  <c r="K48" i="30"/>
  <c r="A49" i="30"/>
  <c r="L48" i="30"/>
  <c r="M48" i="30"/>
  <c r="A44" i="29"/>
  <c r="E49" i="27"/>
  <c r="B49" i="27"/>
  <c r="C49" i="27"/>
  <c r="A50" i="27"/>
  <c r="A66" i="31"/>
  <c r="E65" i="31"/>
  <c r="C65" i="31"/>
  <c r="B65" i="31"/>
  <c r="A50" i="30"/>
  <c r="L49" i="30"/>
  <c r="K49" i="30"/>
  <c r="K50" i="30"/>
  <c r="M49" i="30"/>
  <c r="A45" i="29"/>
  <c r="A51" i="27"/>
  <c r="E50" i="27"/>
  <c r="B50" i="27"/>
  <c r="C50" i="27"/>
  <c r="E66" i="31"/>
  <c r="C66" i="31"/>
  <c r="B66" i="31"/>
  <c r="A67" i="31"/>
  <c r="M50" i="30"/>
  <c r="A51" i="30"/>
  <c r="L50" i="30"/>
  <c r="A46" i="29"/>
  <c r="E51" i="27"/>
  <c r="C51" i="27"/>
  <c r="B51" i="27"/>
  <c r="A52" i="27"/>
  <c r="A68" i="31"/>
  <c r="E67" i="31"/>
  <c r="C67" i="31"/>
  <c r="B67" i="31"/>
  <c r="A52" i="30"/>
  <c r="L51" i="30"/>
  <c r="M51" i="30"/>
  <c r="K51" i="30"/>
  <c r="K52" i="30"/>
  <c r="A47" i="29"/>
  <c r="E52" i="27"/>
  <c r="A53" i="27"/>
  <c r="C52" i="27"/>
  <c r="B52" i="27"/>
  <c r="C68" i="31"/>
  <c r="B68" i="31"/>
  <c r="E68" i="31"/>
  <c r="A69" i="31"/>
  <c r="M52" i="30"/>
  <c r="A53" i="30"/>
  <c r="L52" i="30"/>
  <c r="A48" i="29"/>
  <c r="E53" i="27"/>
  <c r="C53" i="27"/>
  <c r="A54" i="27"/>
  <c r="B53" i="27"/>
  <c r="A70" i="31"/>
  <c r="E69" i="31"/>
  <c r="C69" i="31"/>
  <c r="B69" i="31"/>
  <c r="A54" i="30"/>
  <c r="L53" i="30"/>
  <c r="K53" i="30"/>
  <c r="M53" i="30"/>
  <c r="A49" i="29"/>
  <c r="B54" i="27"/>
  <c r="A55" i="27"/>
  <c r="E54" i="27"/>
  <c r="C54" i="27"/>
  <c r="E70" i="31"/>
  <c r="C70" i="31"/>
  <c r="B70" i="31"/>
  <c r="A55" i="30"/>
  <c r="L54" i="30"/>
  <c r="M54" i="30"/>
  <c r="K54" i="30"/>
  <c r="K55" i="30"/>
  <c r="A50" i="29"/>
  <c r="E55" i="27"/>
  <c r="B55" i="27"/>
  <c r="C55" i="27"/>
  <c r="A56" i="27"/>
  <c r="M55" i="30"/>
  <c r="A56" i="30"/>
  <c r="K56" i="30"/>
  <c r="L55" i="30"/>
  <c r="A51" i="29"/>
  <c r="A57" i="27"/>
  <c r="E56" i="27"/>
  <c r="C56" i="27"/>
  <c r="B56" i="27"/>
  <c r="A57" i="30"/>
  <c r="K57" i="30"/>
  <c r="L56" i="30"/>
  <c r="M56" i="30"/>
  <c r="A52" i="29"/>
  <c r="E57" i="27"/>
  <c r="C57" i="27"/>
  <c r="B57" i="27"/>
  <c r="A58" i="27"/>
  <c r="M57" i="30"/>
  <c r="A58" i="30"/>
  <c r="L57" i="30"/>
  <c r="A53" i="29"/>
  <c r="E58" i="27"/>
  <c r="B58" i="27"/>
  <c r="A59" i="27"/>
  <c r="C58" i="27"/>
  <c r="A59" i="30"/>
  <c r="L58" i="30"/>
  <c r="M58" i="30"/>
  <c r="K58" i="30"/>
  <c r="K59" i="30"/>
  <c r="A54" i="29"/>
  <c r="E59" i="27"/>
  <c r="B59" i="27"/>
  <c r="C59" i="27"/>
  <c r="A60" i="27"/>
  <c r="M59" i="30"/>
  <c r="A60" i="30"/>
  <c r="K60" i="30"/>
  <c r="L59" i="30"/>
  <c r="A55" i="29"/>
  <c r="A61" i="27"/>
  <c r="C60" i="27"/>
  <c r="B60" i="27"/>
  <c r="E60" i="27"/>
  <c r="M60" i="30"/>
  <c r="A61" i="30"/>
  <c r="L60" i="30"/>
  <c r="A56" i="29"/>
  <c r="E61" i="27"/>
  <c r="B61" i="27"/>
  <c r="C61" i="27"/>
  <c r="A62" i="27"/>
  <c r="A62" i="30"/>
  <c r="L61" i="30"/>
  <c r="K61" i="30"/>
  <c r="K62" i="30"/>
  <c r="M61" i="30"/>
  <c r="A57" i="29"/>
  <c r="A63" i="27"/>
  <c r="E62" i="27"/>
  <c r="B62" i="27"/>
  <c r="C62" i="27"/>
  <c r="M62" i="30"/>
  <c r="A63" i="30"/>
  <c r="L62" i="30"/>
  <c r="A58" i="29"/>
  <c r="E63" i="27"/>
  <c r="C63" i="27"/>
  <c r="B63" i="27"/>
  <c r="A64" i="27"/>
  <c r="A64" i="30"/>
  <c r="L63" i="30"/>
  <c r="K63" i="30"/>
  <c r="K64" i="30"/>
  <c r="M63" i="30"/>
  <c r="A59" i="29"/>
  <c r="E64" i="27"/>
  <c r="C64" i="27"/>
  <c r="B64" i="27"/>
  <c r="A65" i="27"/>
  <c r="M64" i="30"/>
  <c r="A65" i="30"/>
  <c r="L64" i="30"/>
  <c r="A60" i="29"/>
  <c r="E65" i="27"/>
  <c r="B65" i="27"/>
  <c r="C65" i="27"/>
  <c r="A66" i="30"/>
  <c r="L65" i="30"/>
  <c r="M65" i="30"/>
  <c r="K65" i="30"/>
  <c r="K66" i="30"/>
  <c r="A61" i="29"/>
  <c r="M66" i="30"/>
  <c r="A67" i="30"/>
  <c r="K67" i="30"/>
  <c r="L66" i="30"/>
  <c r="A62" i="29"/>
  <c r="A68" i="30"/>
  <c r="L67" i="30"/>
  <c r="M67" i="30"/>
  <c r="A63" i="29"/>
  <c r="A69" i="30"/>
  <c r="L68" i="30"/>
  <c r="K68" i="30"/>
  <c r="M68" i="30"/>
  <c r="A64" i="29"/>
  <c r="K69" i="30"/>
  <c r="M69" i="30"/>
  <c r="A70" i="30"/>
  <c r="K70" i="30"/>
  <c r="L69" i="30"/>
  <c r="A65" i="29"/>
  <c r="M70" i="30"/>
  <c r="A71" i="30"/>
  <c r="L70" i="30"/>
  <c r="A66" i="29"/>
  <c r="M71" i="30"/>
  <c r="A72" i="30"/>
  <c r="L71" i="30"/>
  <c r="K71" i="30"/>
  <c r="A67" i="29"/>
  <c r="O72" i="30"/>
  <c r="N72" i="30"/>
  <c r="M72" i="30"/>
  <c r="K72" i="30"/>
  <c r="L72" i="30"/>
  <c r="A73" i="30"/>
  <c r="A68" i="29"/>
  <c r="M73" i="30"/>
  <c r="O73" i="30"/>
  <c r="N73" i="30"/>
  <c r="L73" i="30"/>
  <c r="K73" i="30"/>
  <c r="A74" i="30"/>
  <c r="A69" i="29"/>
  <c r="O74" i="30"/>
  <c r="N74" i="30"/>
  <c r="M74" i="30"/>
  <c r="L74" i="30"/>
  <c r="K74" i="30"/>
  <c r="A75" i="30"/>
  <c r="A70" i="29"/>
  <c r="N75" i="30"/>
  <c r="M75" i="30"/>
  <c r="O75" i="30"/>
  <c r="K75" i="30"/>
  <c r="L75" i="30"/>
  <c r="A76" i="30"/>
  <c r="A71" i="29"/>
  <c r="O76" i="30"/>
  <c r="N76" i="30"/>
  <c r="M76" i="30"/>
  <c r="K76" i="30"/>
  <c r="L76" i="30"/>
  <c r="A77" i="30"/>
  <c r="A72" i="29"/>
  <c r="O77" i="30"/>
  <c r="N77" i="30"/>
  <c r="M77" i="30"/>
  <c r="L77" i="30"/>
  <c r="K77" i="30"/>
  <c r="A78" i="30"/>
  <c r="A73" i="29"/>
  <c r="O78" i="30"/>
  <c r="N78" i="30"/>
  <c r="M78" i="30"/>
  <c r="K78" i="30"/>
  <c r="L78" i="30"/>
  <c r="A79" i="30"/>
  <c r="A74" i="29"/>
  <c r="O79" i="30"/>
  <c r="N79" i="30"/>
  <c r="M79" i="30"/>
  <c r="L79" i="30"/>
  <c r="K79" i="30"/>
  <c r="A80" i="30"/>
  <c r="A75" i="29"/>
  <c r="O80" i="30"/>
  <c r="N80" i="30"/>
  <c r="M80" i="30"/>
  <c r="K80" i="30"/>
  <c r="L80" i="30"/>
  <c r="A81" i="30"/>
  <c r="A76" i="29"/>
  <c r="M81" i="30"/>
  <c r="N81" i="30"/>
  <c r="O81" i="30"/>
  <c r="K81" i="30"/>
  <c r="L81" i="30"/>
  <c r="A82" i="30"/>
  <c r="A77" i="29"/>
  <c r="M82" i="30"/>
  <c r="N82" i="30"/>
  <c r="O82" i="30"/>
  <c r="K82" i="30"/>
  <c r="L82" i="30"/>
  <c r="A83" i="30"/>
  <c r="A78" i="29"/>
  <c r="M83" i="30"/>
  <c r="O83" i="30"/>
  <c r="N83" i="30"/>
  <c r="K83" i="30"/>
  <c r="L83" i="30"/>
  <c r="A84" i="30"/>
  <c r="A79" i="29"/>
  <c r="N84" i="30"/>
  <c r="O84" i="30"/>
  <c r="M84" i="30"/>
  <c r="L84" i="30"/>
  <c r="K84" i="30"/>
  <c r="A85" i="30"/>
  <c r="A80" i="29"/>
  <c r="O85" i="30"/>
  <c r="N85" i="30"/>
  <c r="M85" i="30"/>
  <c r="L85" i="30"/>
  <c r="K85" i="30"/>
  <c r="A86" i="30"/>
  <c r="A81" i="29"/>
  <c r="O86" i="30"/>
  <c r="N86" i="30"/>
  <c r="M86" i="30"/>
  <c r="K86" i="30"/>
  <c r="L86" i="30"/>
  <c r="A87" i="30"/>
  <c r="A82" i="29"/>
  <c r="O87" i="30"/>
  <c r="N87" i="30"/>
  <c r="M87" i="30"/>
  <c r="K87" i="30"/>
  <c r="L87" i="30"/>
  <c r="A88" i="30"/>
  <c r="A83" i="29"/>
  <c r="K89" i="30"/>
  <c r="O88" i="30"/>
  <c r="N88" i="30"/>
  <c r="M88" i="30"/>
  <c r="L88" i="30"/>
  <c r="K88" i="30"/>
  <c r="A84" i="29"/>
  <c r="A85" i="29"/>
  <c r="A86" i="29"/>
  <c r="A87" i="29"/>
  <c r="A88" i="29"/>
  <c r="L85" i="29"/>
  <c r="D24" i="31"/>
  <c r="L94" i="29"/>
  <c r="D26" i="27"/>
  <c r="L70" i="29"/>
  <c r="L67" i="29"/>
  <c r="L61" i="29"/>
  <c r="L98" i="29"/>
  <c r="L125" i="29"/>
  <c r="I14" i="23"/>
  <c r="L31" i="29"/>
  <c r="D24" i="27"/>
  <c r="L64" i="29"/>
  <c r="L86" i="29"/>
  <c r="L117" i="29"/>
  <c r="L13" i="29"/>
  <c r="L104" i="29"/>
  <c r="L32" i="29"/>
  <c r="L112" i="29"/>
  <c r="L110" i="29"/>
  <c r="L113" i="29"/>
  <c r="L23" i="29"/>
  <c r="D22" i="31"/>
  <c r="L127" i="29"/>
  <c r="L92" i="29"/>
  <c r="L47" i="29"/>
  <c r="L12" i="29"/>
  <c r="L116" i="29"/>
  <c r="L14" i="29"/>
  <c r="L121" i="29"/>
  <c r="L108" i="29"/>
  <c r="D30" i="31"/>
  <c r="L93" i="29"/>
  <c r="L43" i="29"/>
  <c r="L118" i="29"/>
  <c r="L34" i="29"/>
  <c r="I21" i="23"/>
  <c r="D25" i="31"/>
  <c r="L17" i="29"/>
  <c r="I16" i="23"/>
  <c r="L9" i="29"/>
  <c r="L46" i="29"/>
  <c r="L15" i="29"/>
  <c r="L120" i="29"/>
  <c r="L44" i="29"/>
  <c r="L99" i="29"/>
  <c r="L54" i="29"/>
  <c r="L122" i="29"/>
  <c r="L59" i="29"/>
  <c r="D28" i="31"/>
  <c r="L80" i="29"/>
  <c r="L28" i="29"/>
  <c r="L11" i="29"/>
  <c r="L19" i="29"/>
  <c r="L124" i="29"/>
  <c r="L97" i="29"/>
  <c r="L72" i="29"/>
  <c r="B14" i="31"/>
  <c r="D26" i="31"/>
  <c r="D19" i="27"/>
  <c r="L29" i="29"/>
  <c r="L45" i="29"/>
  <c r="L57" i="29"/>
  <c r="I17" i="23"/>
  <c r="L53" i="29"/>
  <c r="L91" i="29"/>
  <c r="L20" i="29"/>
  <c r="L106" i="29"/>
  <c r="D27" i="31"/>
  <c r="I9" i="29" a="1"/>
  <c r="L33" i="29"/>
  <c r="L24" i="29"/>
  <c r="D31" i="31"/>
  <c r="L58" i="29"/>
  <c r="L84" i="29"/>
  <c r="L76" i="29"/>
  <c r="L95" i="29"/>
  <c r="I11" i="23"/>
  <c r="I19" i="23"/>
  <c r="L101" i="29"/>
  <c r="L89" i="29"/>
  <c r="I12" i="23"/>
  <c r="L87" i="29"/>
  <c r="D29" i="31"/>
  <c r="D25" i="27"/>
  <c r="L105" i="29"/>
  <c r="I18" i="23"/>
  <c r="L48" i="29"/>
  <c r="L75" i="29"/>
  <c r="D21" i="27"/>
  <c r="L66" i="29"/>
  <c r="L49" i="29"/>
  <c r="L10" i="29"/>
  <c r="L52" i="29"/>
  <c r="L109" i="29"/>
  <c r="L78" i="29"/>
  <c r="I20" i="23"/>
  <c r="L71" i="29"/>
  <c r="L37" i="29"/>
  <c r="L111" i="29"/>
  <c r="D16" i="27"/>
  <c r="L81" i="29"/>
  <c r="L65" i="29"/>
  <c r="L82" i="29"/>
  <c r="L39" i="29"/>
  <c r="L74" i="29"/>
  <c r="L102" i="29"/>
  <c r="I13" i="23"/>
  <c r="L114" i="29"/>
  <c r="L40" i="29"/>
  <c r="L63" i="29"/>
  <c r="L128" i="29"/>
  <c r="L88" i="29"/>
  <c r="L27" i="29"/>
  <c r="L26" i="29"/>
  <c r="L50" i="29"/>
  <c r="L62" i="29"/>
  <c r="L56" i="29"/>
  <c r="L36" i="29"/>
  <c r="L83" i="29"/>
  <c r="L60" i="29"/>
  <c r="L126" i="29"/>
  <c r="L79" i="29"/>
  <c r="D23" i="31"/>
  <c r="L119" i="29"/>
  <c r="L18" i="29"/>
  <c r="L51" i="29"/>
  <c r="L100" i="29"/>
  <c r="L77" i="29"/>
  <c r="L107" i="29"/>
  <c r="L42" i="29"/>
  <c r="D22" i="27"/>
  <c r="L90" i="29"/>
  <c r="L38" i="29"/>
  <c r="L68" i="29"/>
  <c r="L73" i="29"/>
  <c r="L115" i="29"/>
  <c r="L22" i="29"/>
  <c r="I9" i="30" a="1"/>
  <c r="L25" i="29"/>
  <c r="L96" i="29"/>
  <c r="L103" i="29"/>
  <c r="D20" i="27"/>
  <c r="D21" i="31"/>
  <c r="L69" i="29"/>
  <c r="L35" i="29"/>
  <c r="L30" i="29"/>
  <c r="L55" i="29"/>
  <c r="L16" i="29"/>
  <c r="D23" i="27"/>
  <c r="L123" i="29"/>
  <c r="I15" i="23"/>
  <c r="L21" i="29"/>
  <c r="L41" i="29"/>
  <c r="D17" i="27"/>
  <c r="D18" i="27"/>
  <c r="C136" i="43" l="1"/>
  <c r="B136" i="43" s="1"/>
  <c r="B64" i="43"/>
  <c r="A7" i="42"/>
  <c r="A8" i="42"/>
  <c r="D33" i="42"/>
  <c r="N97" i="29"/>
  <c r="N9" i="29"/>
  <c r="N56" i="29"/>
  <c r="N119" i="29"/>
  <c r="N110" i="29"/>
  <c r="N20" i="29"/>
  <c r="N107" i="29"/>
  <c r="N87" i="29"/>
  <c r="N124" i="29"/>
  <c r="N21" i="29"/>
  <c r="N116" i="29"/>
  <c r="N105" i="29"/>
  <c r="I17" i="29"/>
  <c r="I19" i="29"/>
  <c r="I15" i="29"/>
  <c r="I9" i="29"/>
  <c r="I12" i="29"/>
  <c r="I10" i="29"/>
  <c r="I16" i="29"/>
  <c r="I20" i="29"/>
  <c r="I18" i="29"/>
  <c r="I21" i="29"/>
  <c r="I13" i="29"/>
  <c r="I14" i="29"/>
  <c r="I11" i="29"/>
  <c r="J16" i="23"/>
  <c r="N12" i="29"/>
  <c r="N101" i="29"/>
  <c r="N94" i="29"/>
  <c r="N39" i="29"/>
  <c r="E25" i="31"/>
  <c r="N60" i="29"/>
  <c r="N33" i="29"/>
  <c r="E22" i="31"/>
  <c r="J19" i="23"/>
  <c r="N117" i="29"/>
  <c r="N68" i="29"/>
  <c r="N113" i="29"/>
  <c r="N16" i="29"/>
  <c r="E16" i="27"/>
  <c r="E29" i="31"/>
  <c r="N73" i="29"/>
  <c r="J13" i="23"/>
  <c r="N59" i="29"/>
  <c r="N14" i="29"/>
  <c r="J18" i="23"/>
  <c r="N11" i="29"/>
  <c r="E23" i="27"/>
  <c r="N17" i="29"/>
  <c r="J21" i="23"/>
  <c r="N114" i="29"/>
  <c r="N62" i="29"/>
  <c r="N25" i="29"/>
  <c r="N30" i="29"/>
  <c r="N15" i="29"/>
  <c r="E19" i="27"/>
  <c r="N66" i="29"/>
  <c r="N48" i="29"/>
  <c r="N82" i="29"/>
  <c r="I17" i="30"/>
  <c r="I16" i="30"/>
  <c r="I15" i="30"/>
  <c r="I13" i="30"/>
  <c r="I12" i="30"/>
  <c r="I11" i="30"/>
  <c r="I10" i="30"/>
  <c r="I18" i="30"/>
  <c r="I9" i="30"/>
  <c r="I21" i="30"/>
  <c r="I14" i="30"/>
  <c r="I20" i="30"/>
  <c r="I19" i="30"/>
  <c r="N127" i="29"/>
  <c r="N100" i="29"/>
  <c r="N47" i="29"/>
  <c r="E20" i="27"/>
  <c r="E21" i="27"/>
  <c r="N79" i="29"/>
  <c r="N49" i="29"/>
  <c r="E24" i="27"/>
  <c r="N69" i="29"/>
  <c r="N93" i="29"/>
  <c r="N13" i="29"/>
  <c r="N88" i="29"/>
  <c r="E17" i="27"/>
  <c r="N112" i="29"/>
  <c r="N84" i="29"/>
  <c r="N27" i="29"/>
  <c r="N64" i="29"/>
  <c r="N19" i="29"/>
  <c r="N106" i="29"/>
  <c r="N44" i="29"/>
  <c r="J11" i="23"/>
  <c r="J15" i="23"/>
  <c r="N96" i="29"/>
  <c r="N125" i="29"/>
  <c r="N74" i="29"/>
  <c r="N34" i="29"/>
  <c r="N46" i="29"/>
  <c r="N109" i="29"/>
  <c r="J14" i="23"/>
  <c r="N38" i="29"/>
  <c r="N23" i="29"/>
  <c r="N26" i="29"/>
  <c r="N104" i="29"/>
  <c r="N45" i="29"/>
  <c r="E31" i="31"/>
  <c r="N80" i="29"/>
  <c r="N98" i="29"/>
  <c r="N61" i="29"/>
  <c r="N41" i="29"/>
  <c r="N121" i="29"/>
  <c r="N31" i="29"/>
  <c r="N37" i="29"/>
  <c r="N118" i="29"/>
  <c r="N58" i="29"/>
  <c r="N43" i="29"/>
  <c r="N95" i="29"/>
  <c r="N55" i="29"/>
  <c r="N76" i="29"/>
  <c r="N90" i="29"/>
  <c r="E27" i="31"/>
  <c r="N122" i="29"/>
  <c r="N18" i="29"/>
  <c r="N89" i="29"/>
  <c r="N24" i="29"/>
  <c r="N51" i="29"/>
  <c r="N115" i="29"/>
  <c r="N85" i="29"/>
  <c r="E28" i="31"/>
  <c r="N86" i="29"/>
  <c r="E26" i="27"/>
  <c r="N50" i="29"/>
  <c r="N28" i="29"/>
  <c r="N70" i="29"/>
  <c r="N123" i="29"/>
  <c r="E18" i="27"/>
  <c r="E22" i="27"/>
  <c r="N91" i="29"/>
  <c r="N29" i="29"/>
  <c r="N63" i="29"/>
  <c r="N99" i="29"/>
  <c r="E21" i="31"/>
  <c r="N111" i="29"/>
  <c r="J20" i="23"/>
  <c r="E24" i="31"/>
  <c r="J12" i="23"/>
  <c r="N52" i="29"/>
  <c r="N75" i="29"/>
  <c r="N81" i="29"/>
  <c r="N36" i="29"/>
  <c r="E25" i="27"/>
  <c r="N65" i="29"/>
  <c r="N126" i="29"/>
  <c r="N102" i="29"/>
  <c r="N92" i="29"/>
  <c r="E30" i="31"/>
  <c r="N40" i="29"/>
  <c r="N78" i="29"/>
  <c r="N35" i="29"/>
  <c r="B16" i="31"/>
  <c r="J17" i="23"/>
  <c r="N103" i="29"/>
  <c r="N120" i="29"/>
  <c r="N32" i="29"/>
  <c r="E23" i="31"/>
  <c r="N72" i="29"/>
  <c r="N67" i="29"/>
  <c r="N57" i="29"/>
  <c r="N22" i="29"/>
  <c r="N108" i="29"/>
  <c r="N71" i="29"/>
  <c r="N53" i="29"/>
  <c r="E26" i="31"/>
  <c r="N10" i="29"/>
  <c r="N77" i="29"/>
  <c r="N54" i="29"/>
  <c r="N128" i="29"/>
  <c r="N83" i="29"/>
  <c r="N42" i="29"/>
  <c r="M15" i="29"/>
  <c r="N56" i="30"/>
  <c r="M30" i="29"/>
  <c r="N32" i="30"/>
  <c r="M33" i="29"/>
  <c r="N41" i="30"/>
  <c r="M110" i="29"/>
  <c r="M92" i="29"/>
  <c r="N69" i="30"/>
  <c r="M48" i="29"/>
  <c r="M75" i="29"/>
  <c r="M99" i="29"/>
  <c r="N48" i="30"/>
  <c r="M55" i="29"/>
  <c r="M59" i="29"/>
  <c r="M23" i="29"/>
  <c r="N35" i="30"/>
  <c r="N46" i="30"/>
  <c r="M34" i="29"/>
  <c r="M21" i="29"/>
  <c r="M43" i="29"/>
  <c r="M67" i="29"/>
  <c r="M76" i="29"/>
  <c r="N67" i="30"/>
  <c r="M128" i="29"/>
  <c r="N37" i="30"/>
  <c r="N26" i="30"/>
  <c r="N55" i="30"/>
  <c r="M98" i="29"/>
  <c r="M87" i="29"/>
  <c r="N27" i="30"/>
  <c r="M40" i="29"/>
  <c r="M12" i="29"/>
  <c r="M17" i="29"/>
  <c r="N36" i="30"/>
  <c r="M85" i="29"/>
  <c r="M102" i="29"/>
  <c r="M127" i="29"/>
  <c r="M117" i="29"/>
  <c r="M31" i="29"/>
  <c r="M80" i="29"/>
  <c r="M101" i="29"/>
  <c r="M103" i="29"/>
  <c r="N54" i="30"/>
  <c r="N53" i="30"/>
  <c r="N10" i="30"/>
  <c r="M27" i="29"/>
  <c r="N14" i="30"/>
  <c r="M91" i="29"/>
  <c r="N51" i="30"/>
  <c r="N59" i="30"/>
  <c r="N66" i="30"/>
  <c r="M82" i="29"/>
  <c r="M29" i="29"/>
  <c r="M38" i="29"/>
  <c r="N44" i="30"/>
  <c r="M83" i="29"/>
  <c r="N61" i="30"/>
  <c r="M113" i="29"/>
  <c r="M13" i="29"/>
  <c r="N63" i="30"/>
  <c r="M122" i="29"/>
  <c r="M14" i="29"/>
  <c r="M22" i="29"/>
  <c r="M111" i="29"/>
  <c r="M11" i="29"/>
  <c r="M79" i="29"/>
  <c r="N16" i="30"/>
  <c r="M97" i="29"/>
  <c r="M37" i="29"/>
  <c r="M72" i="29"/>
  <c r="M89" i="29"/>
  <c r="M49" i="29"/>
  <c r="N23" i="30"/>
  <c r="M116" i="29"/>
  <c r="M123" i="29"/>
  <c r="M57" i="29"/>
  <c r="M108" i="29"/>
  <c r="M114" i="29"/>
  <c r="M35" i="29"/>
  <c r="M125" i="29"/>
  <c r="N49" i="30"/>
  <c r="N40" i="30"/>
  <c r="M118" i="29"/>
  <c r="N24" i="30"/>
  <c r="M96" i="29"/>
  <c r="N9" i="30"/>
  <c r="M86" i="29"/>
  <c r="M47" i="29"/>
  <c r="M46" i="29"/>
  <c r="N31" i="30"/>
  <c r="N19" i="30"/>
  <c r="N38" i="30"/>
  <c r="N28" i="30"/>
  <c r="N20" i="30"/>
  <c r="M25" i="29"/>
  <c r="M105" i="29"/>
  <c r="M106" i="29"/>
  <c r="M88" i="29"/>
  <c r="M120" i="29"/>
  <c r="M94" i="29"/>
  <c r="N18" i="30"/>
  <c r="N25" i="30"/>
  <c r="M56" i="29"/>
  <c r="M16" i="29"/>
  <c r="N47" i="30"/>
  <c r="M93" i="29"/>
  <c r="M126" i="29"/>
  <c r="M42" i="29"/>
  <c r="M61" i="29"/>
  <c r="N22" i="30"/>
  <c r="M81" i="29"/>
  <c r="M70" i="29"/>
  <c r="M77" i="29"/>
  <c r="M63" i="29"/>
  <c r="M58" i="29"/>
  <c r="M78" i="29"/>
  <c r="M45" i="29"/>
  <c r="N58" i="30"/>
  <c r="M121" i="29"/>
  <c r="M65" i="29"/>
  <c r="M95" i="29"/>
  <c r="M18" i="29"/>
  <c r="N34" i="30"/>
  <c r="N15" i="30"/>
  <c r="M9" i="29"/>
  <c r="M41" i="29"/>
  <c r="M50" i="29"/>
  <c r="N39" i="30"/>
  <c r="M104" i="29"/>
  <c r="M124" i="29"/>
  <c r="M19" i="29"/>
  <c r="M44" i="29"/>
  <c r="M10" i="29"/>
  <c r="M115" i="29"/>
  <c r="M90" i="29"/>
  <c r="N13" i="30"/>
  <c r="M51" i="29"/>
  <c r="M52" i="29"/>
  <c r="M54" i="29"/>
  <c r="N30" i="30"/>
  <c r="M66" i="29"/>
  <c r="N52" i="30"/>
  <c r="N29" i="30"/>
  <c r="M26" i="29"/>
  <c r="M39" i="29"/>
  <c r="N50" i="30"/>
  <c r="M112" i="29"/>
  <c r="M24" i="29"/>
  <c r="M74" i="29"/>
  <c r="N57" i="30"/>
  <c r="M71" i="29"/>
  <c r="M119" i="29"/>
  <c r="N71" i="30"/>
  <c r="M62" i="29"/>
  <c r="N11" i="30"/>
  <c r="M69" i="29"/>
  <c r="M68" i="29"/>
  <c r="M107" i="29"/>
  <c r="M60" i="29"/>
  <c r="N68" i="30"/>
  <c r="N45" i="30"/>
  <c r="M100" i="29"/>
  <c r="M109" i="29"/>
  <c r="M64" i="29"/>
  <c r="N21" i="30"/>
  <c r="N70" i="30"/>
  <c r="N17" i="30"/>
  <c r="N42" i="30"/>
  <c r="M53" i="29"/>
  <c r="N12" i="30"/>
  <c r="N65" i="30"/>
  <c r="N62" i="30"/>
  <c r="M73" i="29"/>
  <c r="N33" i="30"/>
  <c r="M84" i="29"/>
  <c r="M20" i="29"/>
  <c r="N43" i="30"/>
  <c r="M32" i="29"/>
  <c r="N64" i="30"/>
  <c r="M28" i="29"/>
  <c r="M36" i="29"/>
  <c r="N60" i="30"/>
  <c r="C121" i="43" l="1"/>
  <c r="C122" i="43" s="1"/>
  <c r="E93" i="43"/>
  <c r="A9" i="42"/>
  <c r="O14" i="30"/>
  <c r="O15" i="30"/>
  <c r="O22" i="29"/>
  <c r="O28" i="29"/>
  <c r="O23" i="29"/>
  <c r="O25" i="29"/>
  <c r="O24" i="29"/>
  <c r="O27" i="29"/>
  <c r="O29" i="29"/>
  <c r="O26" i="29"/>
  <c r="O22" i="30"/>
  <c r="O21" i="30"/>
  <c r="O19" i="30"/>
  <c r="O20" i="30"/>
  <c r="O19" i="29"/>
  <c r="O21" i="29"/>
  <c r="O20" i="29"/>
  <c r="O18" i="29"/>
  <c r="O28" i="30"/>
  <c r="O27" i="30"/>
  <c r="O23" i="30"/>
  <c r="O25" i="30"/>
  <c r="O26" i="30"/>
  <c r="O24" i="30"/>
  <c r="O29" i="30"/>
  <c r="O128" i="29"/>
  <c r="O118" i="29"/>
  <c r="O123" i="29"/>
  <c r="O120" i="29"/>
  <c r="O127" i="29"/>
  <c r="O121" i="29"/>
  <c r="O124" i="29"/>
  <c r="O122" i="29"/>
  <c r="O119" i="29"/>
  <c r="O125" i="29"/>
  <c r="O126" i="29"/>
  <c r="O30" i="30"/>
  <c r="O39" i="30"/>
  <c r="O32" i="30"/>
  <c r="O33" i="30"/>
  <c r="O36" i="30"/>
  <c r="O34" i="30"/>
  <c r="O37" i="30"/>
  <c r="O35" i="30"/>
  <c r="O38" i="30"/>
  <c r="O31" i="30"/>
  <c r="O79" i="29"/>
  <c r="O74" i="29"/>
  <c r="O85" i="29"/>
  <c r="O72" i="29"/>
  <c r="O73" i="29"/>
  <c r="O81" i="29"/>
  <c r="O78" i="29"/>
  <c r="O71" i="29"/>
  <c r="O75" i="29"/>
  <c r="O83" i="29"/>
  <c r="O76" i="29"/>
  <c r="O77" i="29"/>
  <c r="O80" i="29"/>
  <c r="O70" i="29"/>
  <c r="O84" i="29"/>
  <c r="O82" i="29"/>
  <c r="O106" i="29"/>
  <c r="O114" i="29"/>
  <c r="O111" i="29"/>
  <c r="O113" i="29"/>
  <c r="O110" i="29"/>
  <c r="O112" i="29"/>
  <c r="O109" i="29"/>
  <c r="O107" i="29"/>
  <c r="O102" i="29"/>
  <c r="O103" i="29"/>
  <c r="O116" i="29"/>
  <c r="O117" i="29"/>
  <c r="O105" i="29"/>
  <c r="O108" i="29"/>
  <c r="O115" i="29"/>
  <c r="O104" i="29"/>
  <c r="O45" i="29"/>
  <c r="O40" i="29"/>
  <c r="O41" i="29"/>
  <c r="O46" i="29"/>
  <c r="O39" i="29"/>
  <c r="O44" i="29"/>
  <c r="O48" i="29"/>
  <c r="O38" i="29"/>
  <c r="O42" i="29"/>
  <c r="O43" i="29"/>
  <c r="O49" i="29"/>
  <c r="O47" i="29"/>
  <c r="O9" i="29"/>
  <c r="O47" i="30"/>
  <c r="O48" i="30"/>
  <c r="O50" i="30"/>
  <c r="O52" i="30"/>
  <c r="O53" i="30"/>
  <c r="O54" i="30"/>
  <c r="O49" i="30"/>
  <c r="O51" i="30"/>
  <c r="O17" i="29"/>
  <c r="O14" i="29"/>
  <c r="O16" i="29"/>
  <c r="O15" i="29"/>
  <c r="O56" i="30"/>
  <c r="O55" i="30"/>
  <c r="O59" i="30"/>
  <c r="O62" i="30"/>
  <c r="O61" i="30"/>
  <c r="O60" i="30"/>
  <c r="O58" i="30"/>
  <c r="O57" i="30"/>
  <c r="O17" i="30"/>
  <c r="O16" i="30"/>
  <c r="O18" i="30"/>
  <c r="O37" i="29"/>
  <c r="O35" i="29"/>
  <c r="O36" i="29"/>
  <c r="O30" i="29"/>
  <c r="O34" i="29"/>
  <c r="O33" i="29"/>
  <c r="O31" i="29"/>
  <c r="O32" i="29"/>
  <c r="O65" i="30"/>
  <c r="O70" i="30"/>
  <c r="O64" i="30"/>
  <c r="O69" i="30"/>
  <c r="O67" i="30"/>
  <c r="O63" i="30"/>
  <c r="O68" i="30"/>
  <c r="O71" i="30"/>
  <c r="O66" i="30"/>
  <c r="O90" i="29"/>
  <c r="O101" i="29"/>
  <c r="O87" i="29"/>
  <c r="O86" i="29"/>
  <c r="O88" i="29"/>
  <c r="O96" i="29"/>
  <c r="O89" i="29"/>
  <c r="O92" i="29"/>
  <c r="O100" i="29"/>
  <c r="O97" i="29"/>
  <c r="O98" i="29"/>
  <c r="O93" i="29"/>
  <c r="O99" i="29"/>
  <c r="O94" i="29"/>
  <c r="O95" i="29"/>
  <c r="O91" i="29"/>
  <c r="O68" i="29"/>
  <c r="O54" i="29"/>
  <c r="O53" i="29"/>
  <c r="O60" i="29"/>
  <c r="O69" i="29"/>
  <c r="O67" i="29"/>
  <c r="O58" i="29"/>
  <c r="O65" i="29"/>
  <c r="O57" i="29"/>
  <c r="O56" i="29"/>
  <c r="O63" i="29"/>
  <c r="O52" i="29"/>
  <c r="O55" i="29"/>
  <c r="O50" i="29"/>
  <c r="O64" i="29"/>
  <c r="O66" i="29"/>
  <c r="O61" i="29"/>
  <c r="O59" i="29"/>
  <c r="O62" i="29"/>
  <c r="O51" i="29"/>
  <c r="O40" i="30"/>
  <c r="O46" i="30"/>
  <c r="O42" i="30"/>
  <c r="O44" i="30"/>
  <c r="O43" i="30"/>
  <c r="O45" i="30"/>
  <c r="O41" i="30"/>
  <c r="O9" i="30"/>
  <c r="O10" i="30"/>
  <c r="O13" i="30"/>
  <c r="O11" i="30"/>
  <c r="O12" i="30"/>
  <c r="O13" i="29"/>
  <c r="O11" i="29"/>
  <c r="O10" i="29"/>
  <c r="O12" i="29"/>
  <c r="G16" i="27"/>
  <c r="H16" i="27" s="1"/>
  <c r="G21" i="31"/>
  <c r="H21" i="31" s="1"/>
  <c r="D134" i="43" l="1"/>
  <c r="D132" i="43"/>
  <c r="D133" i="43"/>
  <c r="A10" i="42"/>
  <c r="P9" i="30"/>
  <c r="Q9" i="30" s="1"/>
  <c r="C133" i="43" l="1"/>
  <c r="C132" i="43"/>
  <c r="B132" i="43" s="1"/>
  <c r="B139" i="43" s="1"/>
  <c r="A11" i="42"/>
  <c r="A12" i="42" l="1"/>
  <c r="A13" i="42" l="1"/>
  <c r="A14" i="42" l="1"/>
  <c r="B28" i="42" s="1" a="1"/>
  <c r="B28" i="42" s="1"/>
  <c r="E29" i="42" l="1" a="1"/>
  <c r="E29" i="42" l="1"/>
  <c r="G29" i="42" s="1"/>
  <c r="N30" i="42"/>
  <c r="N31" i="42"/>
  <c r="N37" i="42"/>
  <c r="N32" i="42"/>
  <c r="G32" i="42"/>
  <c r="N35" i="42"/>
  <c r="N36" i="42"/>
  <c r="N34" i="42"/>
  <c r="G30" i="42"/>
  <c r="G34" i="42"/>
  <c r="G31" i="42"/>
  <c r="G33" i="42"/>
  <c r="N33" i="42"/>
  <c r="G35" i="42"/>
  <c r="G36" i="42"/>
  <c r="G37" i="42"/>
  <c r="I34" i="42" l="1"/>
  <c r="H34" i="42"/>
  <c r="J34" i="42" s="1"/>
  <c r="P37" i="42"/>
  <c r="O37" i="42"/>
  <c r="Q37" i="42" s="1"/>
  <c r="I31" i="42"/>
  <c r="H31" i="42"/>
  <c r="J31" i="42" s="1"/>
  <c r="K31" i="42" s="1"/>
  <c r="L31" i="42" s="1"/>
  <c r="O36" i="42"/>
  <c r="Q36" i="42" s="1"/>
  <c r="P36" i="42"/>
  <c r="H37" i="42"/>
  <c r="J37" i="42" s="1"/>
  <c r="I37" i="42"/>
  <c r="P31" i="42"/>
  <c r="O31" i="42"/>
  <c r="Q31" i="42" s="1"/>
  <c r="O34" i="42"/>
  <c r="Q34" i="42" s="1"/>
  <c r="P34" i="42"/>
  <c r="I32" i="42"/>
  <c r="H32" i="42"/>
  <c r="J32" i="42" s="1"/>
  <c r="H36" i="42"/>
  <c r="J36" i="42" s="1"/>
  <c r="I36" i="42"/>
  <c r="K36" i="42" s="1"/>
  <c r="L36" i="42" s="1"/>
  <c r="P33" i="42"/>
  <c r="O33" i="42"/>
  <c r="Q33" i="42" s="1"/>
  <c r="R33" i="42" s="1"/>
  <c r="S33" i="42" s="1"/>
  <c r="O30" i="42"/>
  <c r="Q30" i="42" s="1"/>
  <c r="P30" i="42"/>
  <c r="I30" i="42"/>
  <c r="H30" i="42"/>
  <c r="J30" i="42" s="1"/>
  <c r="P35" i="42"/>
  <c r="O35" i="42"/>
  <c r="Q35" i="42" s="1"/>
  <c r="O32" i="42"/>
  <c r="Q32" i="42" s="1"/>
  <c r="R32" i="42" s="1"/>
  <c r="S32" i="42" s="1"/>
  <c r="P32" i="42"/>
  <c r="I35" i="42"/>
  <c r="H35" i="42"/>
  <c r="J35" i="42" s="1"/>
  <c r="I33" i="42"/>
  <c r="H33" i="42"/>
  <c r="J33" i="42" s="1"/>
  <c r="N29" i="42"/>
  <c r="A63" i="42" a="1"/>
  <c r="R31" i="42" l="1"/>
  <c r="S31" i="42" s="1"/>
  <c r="R34" i="42"/>
  <c r="S34" i="42" s="1"/>
  <c r="K30" i="42"/>
  <c r="L30" i="42" s="1"/>
  <c r="K37" i="42"/>
  <c r="L37" i="42" s="1"/>
  <c r="A63" i="42"/>
  <c r="N69" i="42"/>
  <c r="G72" i="42"/>
  <c r="G65" i="42"/>
  <c r="N65" i="42"/>
  <c r="G69" i="42"/>
  <c r="G70" i="42"/>
  <c r="N68" i="42"/>
  <c r="N70" i="42"/>
  <c r="G73" i="42"/>
  <c r="N71" i="42"/>
  <c r="N72" i="42"/>
  <c r="N73" i="42"/>
  <c r="G66" i="42"/>
  <c r="G67" i="42"/>
  <c r="G68" i="42"/>
  <c r="N67" i="42"/>
  <c r="G71" i="42"/>
  <c r="N66" i="42"/>
  <c r="R30" i="42"/>
  <c r="S30" i="42" s="1"/>
  <c r="K33" i="42"/>
  <c r="L33" i="42" s="1"/>
  <c r="R36" i="42"/>
  <c r="S36" i="42" s="1"/>
  <c r="I29" i="42"/>
  <c r="H29" i="42"/>
  <c r="J29" i="42" s="1"/>
  <c r="O29" i="42"/>
  <c r="Q29" i="42" s="1"/>
  <c r="P29" i="42"/>
  <c r="K35" i="42"/>
  <c r="L35" i="42" s="1"/>
  <c r="K32" i="42"/>
  <c r="L32" i="42" s="1"/>
  <c r="R37" i="42"/>
  <c r="S37" i="42" s="1"/>
  <c r="R35" i="42"/>
  <c r="S35" i="42" s="1"/>
  <c r="K34" i="42"/>
  <c r="L34" i="42" s="1"/>
  <c r="O70" i="42" l="1"/>
  <c r="Q70" i="42" s="1"/>
  <c r="P70" i="42"/>
  <c r="O68" i="42"/>
  <c r="Q68" i="42" s="1"/>
  <c r="P68" i="42"/>
  <c r="I70" i="42"/>
  <c r="H70" i="42"/>
  <c r="J70" i="42" s="1"/>
  <c r="R29" i="42"/>
  <c r="S29" i="42" s="1"/>
  <c r="S38" i="42" s="1"/>
  <c r="H71" i="42"/>
  <c r="J71" i="42" s="1"/>
  <c r="I71" i="42"/>
  <c r="K71" i="42" s="1"/>
  <c r="L71" i="42" s="1"/>
  <c r="H69" i="42"/>
  <c r="J69" i="42" s="1"/>
  <c r="I69" i="42"/>
  <c r="O65" i="42"/>
  <c r="Q65" i="42" s="1"/>
  <c r="R65" i="42" s="1"/>
  <c r="S65" i="42" s="1"/>
  <c r="P65" i="42"/>
  <c r="H65" i="42"/>
  <c r="J65" i="42" s="1"/>
  <c r="I65" i="42"/>
  <c r="I67" i="42"/>
  <c r="H67" i="42"/>
  <c r="J67" i="42" s="1"/>
  <c r="I72" i="42"/>
  <c r="H72" i="42"/>
  <c r="J72" i="42" s="1"/>
  <c r="K72" i="42" s="1"/>
  <c r="L72" i="42" s="1"/>
  <c r="K29" i="42"/>
  <c r="I66" i="42"/>
  <c r="H66" i="42"/>
  <c r="J66" i="42" s="1"/>
  <c r="K66" i="42" s="1"/>
  <c r="L66" i="42" s="1"/>
  <c r="O69" i="42"/>
  <c r="Q69" i="42" s="1"/>
  <c r="P69" i="42"/>
  <c r="O67" i="42"/>
  <c r="Q67" i="42" s="1"/>
  <c r="P67" i="42"/>
  <c r="I68" i="42"/>
  <c r="K68" i="42" s="1"/>
  <c r="L68" i="42" s="1"/>
  <c r="H68" i="42"/>
  <c r="J68" i="42" s="1"/>
  <c r="O73" i="42"/>
  <c r="Q73" i="42" s="1"/>
  <c r="P73" i="42"/>
  <c r="O66" i="42"/>
  <c r="Q66" i="42" s="1"/>
  <c r="P66" i="42"/>
  <c r="R66" i="42" s="1"/>
  <c r="S66" i="42" s="1"/>
  <c r="I73" i="42"/>
  <c r="H73" i="42"/>
  <c r="J73" i="42" s="1"/>
  <c r="K73" i="42" s="1"/>
  <c r="L73" i="42" s="1"/>
  <c r="O72" i="42"/>
  <c r="Q72" i="42" s="1"/>
  <c r="P72" i="42"/>
  <c r="O71" i="42"/>
  <c r="Q71" i="42" s="1"/>
  <c r="P71" i="42"/>
  <c r="K69" i="42" l="1"/>
  <c r="L69" i="42" s="1"/>
  <c r="L29" i="42"/>
  <c r="L38" i="42" s="1"/>
  <c r="R69" i="42"/>
  <c r="S69" i="42" s="1"/>
  <c r="K65" i="42"/>
  <c r="K70" i="42"/>
  <c r="L70" i="42" s="1"/>
  <c r="R73" i="42"/>
  <c r="S73" i="42" s="1"/>
  <c r="K67" i="42"/>
  <c r="L67" i="42" s="1"/>
  <c r="R68" i="42"/>
  <c r="S68" i="42" s="1"/>
  <c r="R71" i="42"/>
  <c r="S71" i="42" s="1"/>
  <c r="R72" i="42"/>
  <c r="S72" i="42" s="1"/>
  <c r="R67" i="42"/>
  <c r="S67" i="42" s="1"/>
  <c r="S74" i="42" s="1"/>
  <c r="R70" i="42"/>
  <c r="S70" i="42" s="1"/>
  <c r="L74" i="42" l="1"/>
  <c r="B76" i="4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Schulich School of Business</author>
  </authors>
  <commentList>
    <comment ref="A9" authorId="0" shapeId="0" xr:uid="{00000000-0006-0000-0200-000001000000}">
      <text>
        <r>
          <rPr>
            <b/>
            <sz val="9"/>
            <color indexed="81"/>
            <rFont val="Tahoma"/>
            <family val="2"/>
          </rPr>
          <t>Schulich School of Business:</t>
        </r>
        <r>
          <rPr>
            <sz val="9"/>
            <color indexed="81"/>
            <rFont val="Tahoma"/>
            <family val="2"/>
          </rPr>
          <t xml:space="preserve">
Interest accrual period (the period between the settlement date and the previous coupon date, as a fraction of the current coupon period)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Schulich School of Business</author>
  </authors>
  <commentList>
    <comment ref="A10" authorId="0" shapeId="0" xr:uid="{9F98B51A-83C7-4EE5-93DA-34A3EE4F83AF}">
      <text>
        <r>
          <rPr>
            <b/>
            <sz val="9"/>
            <color indexed="81"/>
            <rFont val="Tahoma"/>
            <family val="2"/>
          </rPr>
          <t>Schulich School of Business:</t>
        </r>
        <r>
          <rPr>
            <sz val="9"/>
            <color indexed="81"/>
            <rFont val="Tahoma"/>
            <family val="2"/>
          </rPr>
          <t xml:space="preserve">
Interest accrual period (the period between the settlement date and the previous coupon date, as a fraction of the current coupon period)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<sst xmlns="http://schemas.openxmlformats.org/spreadsheetml/2006/main" count="395" uniqueCount="193">
  <si>
    <t>Today:</t>
  </si>
  <si>
    <t>Example 1: Simple bootstrapping</t>
  </si>
  <si>
    <t>Par value</t>
  </si>
  <si>
    <t>Bond Price</t>
  </si>
  <si>
    <t>Annual Coupon</t>
  </si>
  <si>
    <t>Maturity (periods)</t>
  </si>
  <si>
    <t>Maturity (years)</t>
  </si>
  <si>
    <t>Coupon pmt/period</t>
  </si>
  <si>
    <t>SUM (disc factors)</t>
  </si>
  <si>
    <t>Spot Rate (BEY)</t>
  </si>
  <si>
    <t xml:space="preserve">Recursive equation: </t>
  </si>
  <si>
    <t>Or equivalently:</t>
  </si>
  <si>
    <t xml:space="preserve"> </t>
  </si>
  <si>
    <t xml:space="preserve">Step 1: </t>
  </si>
  <si>
    <t>Obtain the current prices on treasuries</t>
  </si>
  <si>
    <t>Step 2:</t>
  </si>
  <si>
    <t>Step 3:</t>
  </si>
  <si>
    <t>bond and r1 calculated in step 2</t>
  </si>
  <si>
    <t>Step 4:</t>
  </si>
  <si>
    <t>bond and r1 and r2</t>
  </si>
  <si>
    <t>Step 5:</t>
  </si>
  <si>
    <t xml:space="preserve">Continue until all the spot rates have been </t>
  </si>
  <si>
    <t>calculated.</t>
  </si>
  <si>
    <t>This approach is called bootstrapping.</t>
  </si>
  <si>
    <t xml:space="preserve">NOTE: All rates are BEY (APR, compounded semiannually) </t>
  </si>
  <si>
    <t>Example 2: Uneven gaps in bond maturities</t>
  </si>
  <si>
    <t>Reestimate with missing bond data:</t>
  </si>
  <si>
    <t>&lt;== Error</t>
  </si>
  <si>
    <t xml:space="preserve">Recursive equation with linear interpolation: </t>
  </si>
  <si>
    <t>where</t>
  </si>
  <si>
    <t>Coupon (%)</t>
  </si>
  <si>
    <t>Mat. Date</t>
  </si>
  <si>
    <t>Mat (yrs)</t>
  </si>
  <si>
    <t>Par:</t>
  </si>
  <si>
    <t>Error</t>
  </si>
  <si>
    <t>Price ($)</t>
  </si>
  <si>
    <t>Yield (%)</t>
  </si>
  <si>
    <t>Full price</t>
  </si>
  <si>
    <t>Freq:</t>
  </si>
  <si>
    <t>Model price</t>
  </si>
  <si>
    <t>Spot rate</t>
  </si>
  <si>
    <t xml:space="preserve">   Par - Par value</t>
  </si>
  <si>
    <t xml:space="preserve">   Coupon - annual coupon rate</t>
  </si>
  <si>
    <t xml:space="preserve">   Freq - number of coupon payments per year</t>
  </si>
  <si>
    <t xml:space="preserve">   t-vec - vector of spot rate terms (yrs)</t>
  </si>
  <si>
    <t>VBA function "Bond_ZeroRates"</t>
  </si>
  <si>
    <t>Canada Bonds, Closing Prices/Yields as of market close on Feb. 5, 2010</t>
  </si>
  <si>
    <t>Coups/yr:</t>
  </si>
  <si>
    <t>Bootstrapped</t>
  </si>
  <si>
    <t>Cubic splines</t>
  </si>
  <si>
    <t xml:space="preserve">   Mat - Maturity (yrs) = (N - a)/Freq, where N is # of coupons and a is (# of days between prev. coupon date and today)/(# of days in coupon period)</t>
  </si>
  <si>
    <t>Type</t>
  </si>
  <si>
    <t>T-bill</t>
  </si>
  <si>
    <t>T-bond</t>
  </si>
  <si>
    <t>Example 3: Pricing a bond using spot rates</t>
  </si>
  <si>
    <t>VBA function PWLinear</t>
  </si>
  <si>
    <t xml:space="preserve">   t - term (yrs) of the spot rate to be interpolated</t>
  </si>
  <si>
    <t>Coupon (%):</t>
  </si>
  <si>
    <t>Mat. Date:</t>
  </si>
  <si>
    <t>Fract. (a):</t>
  </si>
  <si>
    <t>Accr. Int. (AI):</t>
  </si>
  <si>
    <t># of coupons:</t>
  </si>
  <si>
    <t>Period/Pmt date:</t>
  </si>
  <si>
    <t>Term (yrs)</t>
  </si>
  <si>
    <t>Payment</t>
  </si>
  <si>
    <t>PV</t>
  </si>
  <si>
    <t>Quote</t>
  </si>
  <si>
    <t>Example 4: Bootstrapping Canada Bonds, step by step approach</t>
  </si>
  <si>
    <t>CubicSpline</t>
  </si>
  <si>
    <t>Use 2 VBA functions to implement "natural cubic splines":</t>
  </si>
  <si>
    <t xml:space="preserve">    tvec - vector of interest rate maturies (yrs)</t>
  </si>
  <si>
    <t xml:space="preserve">  This array function calculates 2nd order derivatives of interest rates:</t>
  </si>
  <si>
    <t xml:space="preserve">  This function calculates interest rate at a given maturity (given vector of 2nd order derivatives):</t>
  </si>
  <si>
    <t xml:space="preserve">    t - a given maturity of interest rate (yrs)</t>
  </si>
  <si>
    <t>rp2</t>
  </si>
  <si>
    <t>Note: This is an array function and must be used accordingly:</t>
  </si>
  <si>
    <t>1. highlight the cells where the output values are to be stored in</t>
  </si>
  <si>
    <t>2. enter the function as you usually do</t>
  </si>
  <si>
    <t>3. hit ctrl+shit+enter to complete</t>
  </si>
  <si>
    <t>quote</t>
  </si>
  <si>
    <t>Copy from columns B-D</t>
  </si>
  <si>
    <t>Fraction:</t>
  </si>
  <si>
    <t>Total #coupons:</t>
  </si>
  <si>
    <t>full</t>
  </si>
  <si>
    <t>Period</t>
  </si>
  <si>
    <t>CF</t>
  </si>
  <si>
    <t>Extra example 1 (using the same bond and spot rates as in Example 3)</t>
  </si>
  <si>
    <t># of coupons (N):</t>
  </si>
  <si>
    <t>Maturity (yrs):</t>
  </si>
  <si>
    <t>Full price:</t>
  </si>
  <si>
    <t>AI:</t>
  </si>
  <si>
    <t>Quote:</t>
  </si>
  <si>
    <t>Ask for a second opinion: confirmation using a different method</t>
  </si>
  <si>
    <t>#days between Mat. and today</t>
  </si>
  <si>
    <t>Incorrect calculation of bond maturity</t>
  </si>
  <si>
    <t>#days between Mat. and today:</t>
  </si>
  <si>
    <t>Use 2 VBA functions to implement "financial cubic splines":</t>
  </si>
  <si>
    <t>3. hit ctrl+shift+enter to complete</t>
  </si>
  <si>
    <t>Bond_ZeroRates(Par, Mat, Coupon, Freq, t-vec, z-vec)</t>
  </si>
  <si>
    <t xml:space="preserve">   z-vec - vector of spot rates</t>
  </si>
  <si>
    <t>Spline(tvec, zvec, zp1, zpn)</t>
  </si>
  <si>
    <t xml:space="preserve">    zvec - vector of interest rates</t>
  </si>
  <si>
    <t xml:space="preserve">    zp1 - 1st order derivative at the first interest rate (shortest maturity), usually set equal to 0</t>
  </si>
  <si>
    <t xml:space="preserve">    zpn - 1st order derivative at the last interest rate (longest maturity), usually set equal to 0</t>
  </si>
  <si>
    <t>Splint(tvec, zvec, zp2, t)</t>
  </si>
  <si>
    <t xml:space="preserve">    zp2 - vector of 2nd order derivatives of interest rate</t>
  </si>
  <si>
    <t>Solve for the yield on the one period zero - z1</t>
  </si>
  <si>
    <t xml:space="preserve">Solve for z2, given the price of the two period </t>
  </si>
  <si>
    <t>Solve for z3 given the price of the three period</t>
  </si>
  <si>
    <t>PWLinear(t, t-vec, z-vec)</t>
  </si>
  <si>
    <t>VBA function "Bond_ZeroRates": calculates full price using spot rates</t>
  </si>
  <si>
    <t>zp2</t>
  </si>
  <si>
    <t>3-month forward rates</t>
  </si>
  <si>
    <t>Comparing spot rates</t>
  </si>
  <si>
    <t>Frequency</t>
  </si>
  <si>
    <t>Frequency</t>
    <phoneticPr fontId="14" type="noConversion"/>
  </si>
  <si>
    <t>Coupon Rate</t>
  </si>
  <si>
    <t>Par</t>
  </si>
  <si>
    <t>Par</t>
    <phoneticPr fontId="14" type="noConversion"/>
  </si>
  <si>
    <t>Maturity</t>
  </si>
  <si>
    <t>Coupon</t>
    <phoneticPr fontId="14" type="noConversion"/>
  </si>
  <si>
    <t>Term(Year)</t>
  </si>
  <si>
    <t>Spot Rate</t>
  </si>
  <si>
    <t>Principle</t>
  </si>
  <si>
    <t>Cap Rate</t>
  </si>
  <si>
    <t>Floor Rate</t>
  </si>
  <si>
    <t>Volatility</t>
  </si>
  <si>
    <t>Componding Frequency</t>
  </si>
  <si>
    <t>Forward Rate</t>
  </si>
  <si>
    <t>Maturity(yr)</t>
  </si>
  <si>
    <t>Settlement</t>
  </si>
  <si>
    <t>Caplet valuation</t>
  </si>
  <si>
    <t>Floorlet valuation</t>
  </si>
  <si>
    <t>d1</t>
  </si>
  <si>
    <t>d2</t>
  </si>
  <si>
    <t>N(d1)</t>
  </si>
  <si>
    <t>N(d2)</t>
  </si>
  <si>
    <t>Caplet Payoff</t>
  </si>
  <si>
    <t>N(-d1)</t>
  </si>
  <si>
    <t>N(-d2)</t>
  </si>
  <si>
    <t>Floorlet Payoff</t>
  </si>
  <si>
    <t>Sum</t>
  </si>
  <si>
    <t>Solve Cap Rate by setting error=0</t>
  </si>
  <si>
    <t>Spot rates in six-month increments are provided in the following table:</t>
    <phoneticPr fontId="14" type="noConversion"/>
  </si>
  <si>
    <t>All rates are stated as APR with semi-annual compounding. Use the Black’s model to answer the following questions:</t>
    <phoneticPr fontId="14" type="noConversion"/>
  </si>
  <si>
    <t>a) (10%) Consider a 5-year cap on the 6-month spot rate with a principal of $100,000 and semi-annual payments. If the cap rate is 4.25% and the flat volatility for the cap is 17%, how much is the cap worth today?</t>
    <phoneticPr fontId="14" type="noConversion"/>
  </si>
  <si>
    <t>b) (6%) Consider a 5-year floor on the 6-month spot rate with a principal of $100,000 and semi-annual payments. If the floor rate is 2.5% and the flat volatility for the floor is 17%, how much is the floor worth today?</t>
    <phoneticPr fontId="14" type="noConversion"/>
  </si>
  <si>
    <t>c) (4%) If a cap is added to the floor in b) above such that the resulting collar has zero value today, what should the cap rate be? Continue to assume that the flat volatility is 17%.</t>
    <phoneticPr fontId="14" type="noConversion"/>
  </si>
  <si>
    <t xml:space="preserve">Consider the ten-period binomial tree of the six-month short rate (APR, compounded semiannually) provided </t>
    <phoneticPr fontId="14" type="noConversion"/>
  </si>
  <si>
    <t>in the excel spreadsheet (homework3_post.xlsx). Each binomial period is six month long and the whole tree covers</t>
    <phoneticPr fontId="14" type="noConversion"/>
  </si>
  <si>
    <t>a five-year span. The spot rate has equal probabilities of either going up or down in each period</t>
    <phoneticPr fontId="14" type="noConversion"/>
  </si>
  <si>
    <t>(in the risk-neutral world).</t>
    <phoneticPr fontId="14" type="noConversion"/>
  </si>
  <si>
    <t>Binomial tree of one-period spot rates:</t>
  </si>
  <si>
    <t>Time period ==&gt;</t>
  </si>
  <si>
    <t>Years</t>
  </si>
  <si>
    <t/>
  </si>
  <si>
    <t>a) (10%) Find the term structure of spot rates, with terms varying from 6 months to 5 years in 6-month increments. All spot rates should be stated as APR, compounded semiannually.</t>
    <phoneticPr fontId="14" type="noConversion"/>
  </si>
  <si>
    <t>Period</t>
    <phoneticPr fontId="14" type="noConversion"/>
  </si>
  <si>
    <t>Term(yr)</t>
    <phoneticPr fontId="14" type="noConversion"/>
  </si>
  <si>
    <t>Bond price</t>
    <phoneticPr fontId="14" type="noConversion"/>
  </si>
  <si>
    <t>Spot rate</t>
    <phoneticPr fontId="14" type="noConversion"/>
  </si>
  <si>
    <t>2) the term structure of spot rates in a) above. Verify that both calculations arrive at the same bond price.</t>
    <phoneticPr fontId="14" type="noConversion"/>
  </si>
  <si>
    <t>b) (5%) Consider a Treasury bond with 5 years remaining to maturity, $100 par, and 5.25% coupon rate (paid semiannually). Determine the value of the bond today using 1) the binomial tree of short rates;</t>
    <phoneticPr fontId="14" type="noConversion"/>
  </si>
  <si>
    <t>Time (yrs):</t>
  </si>
  <si>
    <t>Maturity</t>
    <phoneticPr fontId="14" type="noConversion"/>
  </si>
  <si>
    <t>Coupon/period</t>
  </si>
  <si>
    <t>Determine the value of the bond today using the term structure of spot rates</t>
    <phoneticPr fontId="14" type="noConversion"/>
  </si>
  <si>
    <t>Using Spot Rate</t>
  </si>
  <si>
    <t>Term (yr)</t>
  </si>
  <si>
    <t xml:space="preserve">Spot rate </t>
  </si>
  <si>
    <t>Total</t>
  </si>
  <si>
    <t>c) (5%) Consider a bond identical to the Treasury bond in b) above except that it is also callable. While it is not callable initially, the bond becomes callable at par after one year (the first call date is exactly one year from now).</t>
    <phoneticPr fontId="14" type="noConversion"/>
  </si>
  <si>
    <t>What is the price of this callable Treasury bond?</t>
    <phoneticPr fontId="14" type="noConversion"/>
  </si>
  <si>
    <t>callable at par</t>
    <phoneticPr fontId="14" type="noConversion"/>
  </si>
  <si>
    <t>d) (5%) Consider a collar consisting of a long position in a European call option on the Treasury bond in b) above and a short position in a European put option on the same bond. Both options have one year remaining to maturity.</t>
    <phoneticPr fontId="14" type="noConversion"/>
  </si>
  <si>
    <t>The strike price of the call option is exactly 5% below the Treasury bond price. In order for the collar to have an initial value of zero, what should the strike price of the put option be?</t>
    <phoneticPr fontId="14" type="noConversion"/>
  </si>
  <si>
    <t>Bond Price</t>
    <phoneticPr fontId="14" type="noConversion"/>
  </si>
  <si>
    <t>Strike Price (call)</t>
    <phoneticPr fontId="14" type="noConversion"/>
  </si>
  <si>
    <t>Strike Price (put)</t>
    <phoneticPr fontId="14" type="noConversion"/>
  </si>
  <si>
    <t>dt</t>
    <phoneticPr fontId="14" type="noConversion"/>
  </si>
  <si>
    <t>prob</t>
    <phoneticPr fontId="14" type="noConversion"/>
  </si>
  <si>
    <t>Option Price</t>
    <phoneticPr fontId="14" type="noConversion"/>
  </si>
  <si>
    <t>Call</t>
    <phoneticPr fontId="14" type="noConversion"/>
  </si>
  <si>
    <t>Put</t>
    <phoneticPr fontId="14" type="noConversion"/>
  </si>
  <si>
    <t>a)</t>
  </si>
  <si>
    <t>b)</t>
  </si>
  <si>
    <t>Caplet PV</t>
  </si>
  <si>
    <t>Floorlet PV</t>
  </si>
  <si>
    <t xml:space="preserve"> Floorlet PV</t>
  </si>
  <si>
    <t>Question 5 (25%) Exvel 10 EX3</t>
  </si>
  <si>
    <t>Bond price: VBA function BondBin(par, mat, coupon, freq, dt, p, tree)</t>
  </si>
  <si>
    <t>redeemable after(yrs)</t>
  </si>
  <si>
    <t>Determine the value of the bond today using the binomial tree of short rates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</si>
</sst>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4" formatCode="_-&quot;$&quot;* #,##0.00_-;\-&quot;$&quot;* #,##0.00_-;_-&quot;$&quot;* &quot;-&quot;??_-;_-@_-"/>
    <numFmt numFmtId="43" formatCode="_-* #,##0.00_-;\-* #,##0.00_-;_-* &quot;-&quot;??_-;_-@_-"/>
    <numFmt numFmtId="164" formatCode="0.0000"/>
    <numFmt numFmtId="165" formatCode="0.00000"/>
    <numFmt numFmtId="166" formatCode="0.000000"/>
    <numFmt numFmtId="167" formatCode="0.000"/>
    <numFmt numFmtId="168" formatCode="0.0000%"/>
    <numFmt numFmtId="169" formatCode="0.000%"/>
    <numFmt numFmtId="170" formatCode="0.00000%"/>
    <numFmt numFmtId="171" formatCode="0.00000_ "/>
  </numFmts>
  <fonts count="2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b/>
      <sz val="14"/>
      <name val="Arial"/>
      <family val="2"/>
    </font>
    <font>
      <sz val="10"/>
      <name val="Arial"/>
      <family val="2"/>
    </font>
    <font>
      <sz val="10"/>
      <color rgb="FFFF0000"/>
      <name val="Arial"/>
      <family val="2"/>
    </font>
    <font>
      <sz val="10"/>
      <color theme="1"/>
      <name val="Arial"/>
      <family val="2"/>
    </font>
    <font>
      <b/>
      <sz val="9"/>
      <color indexed="81"/>
      <name val="Tahoma"/>
      <family val="2"/>
    </font>
    <font>
      <sz val="9"/>
      <color indexed="81"/>
      <name val="Tahoma"/>
      <family val="2"/>
    </font>
    <font>
      <sz val="10"/>
      <name val="Arial"/>
      <family val="2"/>
    </font>
    <font>
      <sz val="9"/>
      <name val="MingLiU"/>
      <family val="3"/>
      <charset val="136"/>
    </font>
    <font>
      <b/>
      <sz val="12"/>
      <name val="Arial"/>
      <family val="2"/>
    </font>
    <font>
      <sz val="12"/>
      <name val="Arial"/>
      <family val="2"/>
    </font>
    <font>
      <b/>
      <sz val="12"/>
      <color theme="1"/>
      <name val="Arial"/>
      <family val="2"/>
    </font>
    <font>
      <sz val="12"/>
      <color rgb="FFFF0000"/>
      <name val="Arial"/>
      <family val="2"/>
    </font>
    <font>
      <sz val="10"/>
      <name val="Arial"/>
      <family val="2"/>
    </font>
  </fonts>
  <fills count="13">
    <fill>
      <patternFill patternType="none"/>
    </fill>
    <fill>
      <patternFill patternType="gray125"/>
    </fill>
    <fill>
      <patternFill patternType="solid">
        <fgColor rgb="FFFFC000"/>
        <bgColor indexed="64"/>
      </patternFill>
    </fill>
    <fill>
      <patternFill patternType="solid">
        <fgColor rgb="FF92D050"/>
        <bgColor indexed="64"/>
      </patternFill>
    </fill>
    <fill>
      <patternFill patternType="solid">
        <fgColor indexed="13"/>
        <bgColor indexed="64"/>
      </patternFill>
    </fill>
    <fill>
      <patternFill patternType="solid">
        <fgColor indexed="52"/>
        <bgColor indexed="64"/>
      </patternFill>
    </fill>
    <fill>
      <patternFill patternType="solid">
        <fgColor indexed="50"/>
        <bgColor indexed="64"/>
      </patternFill>
    </fill>
    <fill>
      <patternFill patternType="solid">
        <fgColor rgb="FFFFFF00"/>
        <bgColor indexed="64"/>
      </patternFill>
    </fill>
    <fill>
      <patternFill patternType="solid">
        <fgColor theme="5" tint="0.79998168889431442"/>
        <bgColor indexed="64"/>
      </patternFill>
    </fill>
    <fill>
      <patternFill patternType="solid">
        <fgColor rgb="FF00B0F0"/>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rgb="FFFFFF99"/>
        <bgColor indexed="64"/>
      </patternFill>
    </fill>
  </fills>
  <borders count="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6">
    <xf numFmtId="0" fontId="0" fillId="0" borderId="0"/>
    <xf numFmtId="0" fontId="5" fillId="0" borderId="0"/>
    <xf numFmtId="0" fontId="8" fillId="0" borderId="0"/>
    <xf numFmtId="0" fontId="8" fillId="0" borderId="0"/>
    <xf numFmtId="0" fontId="4" fillId="0" borderId="0"/>
    <xf numFmtId="9" fontId="13" fillId="0" borderId="0" applyFont="0" applyFill="0" applyBorder="0" applyAlignment="0" applyProtection="0">
      <alignment vertical="center"/>
    </xf>
    <xf numFmtId="0" fontId="3" fillId="0" borderId="0"/>
    <xf numFmtId="9" fontId="3" fillId="0" borderId="0" applyFont="0" applyFill="0" applyBorder="0" applyAlignment="0" applyProtection="0">
      <alignment vertical="center"/>
    </xf>
    <xf numFmtId="0" fontId="3" fillId="0" borderId="0"/>
    <xf numFmtId="0" fontId="2" fillId="0" borderId="0"/>
    <xf numFmtId="43" fontId="8" fillId="0" borderId="0" applyFont="0" applyFill="0" applyBorder="0" applyAlignment="0" applyProtection="0"/>
    <xf numFmtId="9" fontId="8" fillId="0" borderId="0" applyFont="0" applyFill="0" applyBorder="0" applyAlignment="0" applyProtection="0"/>
    <xf numFmtId="44" fontId="8" fillId="0" borderId="0" applyFont="0" applyFill="0" applyBorder="0" applyAlignment="0" applyProtection="0"/>
    <xf numFmtId="44" fontId="19" fillId="0" borderId="0" applyFont="0" applyFill="0" applyBorder="0" applyAlignment="0" applyProtection="0"/>
    <xf numFmtId="0" fontId="1" fillId="0" borderId="0"/>
    <xf numFmtId="9" fontId="8" fillId="0" borderId="0" applyFont="0" applyFill="0" applyBorder="0" applyAlignment="0" applyProtection="0">
      <alignment vertical="center"/>
    </xf>
  </cellStyleXfs>
  <cellXfs count="124">
    <xf numFmtId="0" fontId="0" fillId="0" borderId="0" xfId="0"/>
    <xf numFmtId="164" fontId="0" fillId="0" borderId="0" xfId="0" applyNumberFormat="1"/>
    <xf numFmtId="0" fontId="6" fillId="0" borderId="0" xfId="0" applyFont="1"/>
    <xf numFmtId="0" fontId="6" fillId="0" borderId="0" xfId="2" applyFont="1"/>
    <xf numFmtId="0" fontId="8" fillId="0" borderId="0" xfId="2"/>
    <xf numFmtId="164" fontId="8" fillId="0" borderId="0" xfId="2" applyNumberFormat="1"/>
    <xf numFmtId="0" fontId="8" fillId="3" borderId="0" xfId="2" applyFill="1"/>
    <xf numFmtId="0" fontId="7" fillId="4" borderId="0" xfId="2" applyFont="1" applyFill="1"/>
    <xf numFmtId="0" fontId="8" fillId="4" borderId="0" xfId="2" applyFill="1"/>
    <xf numFmtId="0" fontId="8" fillId="5" borderId="0" xfId="2" applyFill="1"/>
    <xf numFmtId="0" fontId="8" fillId="0" borderId="0" xfId="2" applyAlignment="1">
      <alignment horizontal="center"/>
    </xf>
    <xf numFmtId="0" fontId="8" fillId="0" borderId="0" xfId="2" applyAlignment="1">
      <alignment horizontal="right"/>
    </xf>
    <xf numFmtId="166" fontId="8" fillId="0" borderId="0" xfId="2" applyNumberFormat="1" applyAlignment="1">
      <alignment horizontal="center"/>
    </xf>
    <xf numFmtId="168" fontId="8" fillId="0" borderId="0" xfId="2" applyNumberFormat="1"/>
    <xf numFmtId="0" fontId="8" fillId="6" borderId="1" xfId="2" applyFill="1" applyBorder="1"/>
    <xf numFmtId="0" fontId="8" fillId="6" borderId="2" xfId="2" applyFill="1" applyBorder="1"/>
    <xf numFmtId="0" fontId="8" fillId="6" borderId="3" xfId="2" applyFill="1" applyBorder="1"/>
    <xf numFmtId="0" fontId="6" fillId="6" borderId="4" xfId="2" applyFont="1" applyFill="1" applyBorder="1"/>
    <xf numFmtId="0" fontId="8" fillId="6" borderId="0" xfId="2" applyFill="1"/>
    <xf numFmtId="0" fontId="8" fillId="6" borderId="5" xfId="2" applyFill="1" applyBorder="1"/>
    <xf numFmtId="0" fontId="8" fillId="6" borderId="4" xfId="2" applyFill="1" applyBorder="1"/>
    <xf numFmtId="0" fontId="6" fillId="6" borderId="0" xfId="2" applyFont="1" applyFill="1"/>
    <xf numFmtId="0" fontId="8" fillId="6" borderId="6" xfId="2" applyFill="1" applyBorder="1"/>
    <xf numFmtId="0" fontId="8" fillId="6" borderId="7" xfId="2" applyFill="1" applyBorder="1"/>
    <xf numFmtId="0" fontId="8" fillId="6" borderId="8" xfId="2" applyFill="1" applyBorder="1"/>
    <xf numFmtId="0" fontId="6" fillId="0" borderId="0" xfId="2" applyFont="1" applyAlignment="1">
      <alignment horizontal="left"/>
    </xf>
    <xf numFmtId="0" fontId="8" fillId="3" borderId="0" xfId="2" applyFill="1" applyAlignment="1">
      <alignment horizontal="center"/>
    </xf>
    <xf numFmtId="166" fontId="8" fillId="3" borderId="0" xfId="2" applyNumberFormat="1" applyFill="1" applyAlignment="1">
      <alignment horizontal="center"/>
    </xf>
    <xf numFmtId="168" fontId="8" fillId="3" borderId="0" xfId="2" applyNumberFormat="1" applyFill="1"/>
    <xf numFmtId="165" fontId="8" fillId="2" borderId="0" xfId="2" applyNumberFormat="1" applyFill="1"/>
    <xf numFmtId="0" fontId="8" fillId="2" borderId="0" xfId="2" applyFill="1"/>
    <xf numFmtId="165" fontId="8" fillId="0" borderId="0" xfId="2" applyNumberFormat="1"/>
    <xf numFmtId="14" fontId="8" fillId="0" borderId="0" xfId="2" applyNumberFormat="1"/>
    <xf numFmtId="0" fontId="6" fillId="0" borderId="0" xfId="2" applyFont="1" applyAlignment="1">
      <alignment horizontal="center"/>
    </xf>
    <xf numFmtId="0" fontId="8" fillId="2" borderId="0" xfId="2" applyFill="1" applyAlignment="1">
      <alignment horizontal="right" wrapText="1"/>
    </xf>
    <xf numFmtId="14" fontId="8" fillId="2" borderId="0" xfId="2" applyNumberFormat="1" applyFill="1" applyAlignment="1">
      <alignment horizontal="right" wrapText="1"/>
    </xf>
    <xf numFmtId="164" fontId="9" fillId="0" borderId="0" xfId="2" applyNumberFormat="1" applyFont="1"/>
    <xf numFmtId="0" fontId="8" fillId="0" borderId="0" xfId="2" applyAlignment="1">
      <alignment horizontal="right" wrapText="1"/>
    </xf>
    <xf numFmtId="0" fontId="6" fillId="0" borderId="0" xfId="0" applyFont="1" applyAlignment="1">
      <alignment horizontal="center"/>
    </xf>
    <xf numFmtId="0" fontId="6" fillId="8" borderId="0" xfId="0" applyFont="1" applyFill="1"/>
    <xf numFmtId="0" fontId="0" fillId="8" borderId="0" xfId="0" applyFill="1"/>
    <xf numFmtId="2" fontId="8" fillId="0" borderId="0" xfId="2" applyNumberFormat="1"/>
    <xf numFmtId="164" fontId="0" fillId="7" borderId="0" xfId="0" applyNumberFormat="1" applyFill="1"/>
    <xf numFmtId="0" fontId="6" fillId="2" borderId="0" xfId="2" applyFont="1" applyFill="1"/>
    <xf numFmtId="0" fontId="6" fillId="8" borderId="0" xfId="2" applyFont="1" applyFill="1"/>
    <xf numFmtId="0" fontId="8" fillId="8" borderId="0" xfId="2" applyFill="1"/>
    <xf numFmtId="0" fontId="6" fillId="7" borderId="0" xfId="2" applyFont="1" applyFill="1"/>
    <xf numFmtId="14" fontId="8" fillId="7" borderId="0" xfId="2" applyNumberFormat="1" applyFill="1"/>
    <xf numFmtId="0" fontId="8" fillId="7" borderId="0" xfId="2" applyFill="1"/>
    <xf numFmtId="164" fontId="8" fillId="2" borderId="0" xfId="2" applyNumberFormat="1" applyFill="1"/>
    <xf numFmtId="14" fontId="8" fillId="7" borderId="0" xfId="2" applyNumberFormat="1" applyFill="1" applyAlignment="1">
      <alignment horizontal="right" wrapText="1"/>
    </xf>
    <xf numFmtId="167" fontId="8" fillId="0" borderId="0" xfId="2" applyNumberFormat="1"/>
    <xf numFmtId="0" fontId="6" fillId="3" borderId="0" xfId="2" applyFont="1" applyFill="1" applyAlignment="1">
      <alignment horizontal="center"/>
    </xf>
    <xf numFmtId="164" fontId="8" fillId="3" borderId="0" xfId="2" applyNumberFormat="1" applyFill="1"/>
    <xf numFmtId="2" fontId="8" fillId="3" borderId="0" xfId="2" applyNumberFormat="1" applyFill="1"/>
    <xf numFmtId="164" fontId="4" fillId="0" borderId="0" xfId="4" applyNumberFormat="1"/>
    <xf numFmtId="165" fontId="0" fillId="0" borderId="0" xfId="0" applyNumberFormat="1"/>
    <xf numFmtId="14" fontId="8" fillId="0" borderId="0" xfId="2" applyNumberFormat="1" applyAlignment="1">
      <alignment horizontal="right" wrapText="1"/>
    </xf>
    <xf numFmtId="165" fontId="10" fillId="0" borderId="0" xfId="2" applyNumberFormat="1" applyFont="1"/>
    <xf numFmtId="165" fontId="4" fillId="0" borderId="0" xfId="4" applyNumberFormat="1"/>
    <xf numFmtId="0" fontId="6" fillId="7" borderId="0" xfId="2" applyFont="1" applyFill="1" applyAlignment="1">
      <alignment horizontal="left"/>
    </xf>
    <xf numFmtId="0" fontId="6" fillId="7" borderId="0" xfId="2" applyFont="1" applyFill="1" applyAlignment="1">
      <alignment horizontal="center"/>
    </xf>
    <xf numFmtId="164" fontId="8" fillId="7" borderId="0" xfId="2" applyNumberFormat="1" applyFill="1"/>
    <xf numFmtId="0" fontId="6" fillId="2" borderId="0" xfId="2" applyFont="1" applyFill="1" applyAlignment="1">
      <alignment horizontal="left"/>
    </xf>
    <xf numFmtId="0" fontId="6" fillId="9" borderId="0" xfId="2" applyFont="1" applyFill="1"/>
    <xf numFmtId="0" fontId="8" fillId="9" borderId="0" xfId="2" applyFill="1"/>
    <xf numFmtId="0" fontId="6" fillId="0" borderId="0" xfId="2" applyFont="1" applyAlignment="1">
      <alignment horizontal="right"/>
    </xf>
    <xf numFmtId="164" fontId="8" fillId="7" borderId="0" xfId="3" applyNumberFormat="1" applyFill="1"/>
    <xf numFmtId="0" fontId="6" fillId="3" borderId="0" xfId="2" applyFont="1" applyFill="1"/>
    <xf numFmtId="167" fontId="8" fillId="3" borderId="0" xfId="2" applyNumberFormat="1" applyFill="1"/>
    <xf numFmtId="167" fontId="8" fillId="7" borderId="0" xfId="2" applyNumberFormat="1" applyFill="1"/>
    <xf numFmtId="165" fontId="10" fillId="0" borderId="0" xfId="4" applyNumberFormat="1" applyFont="1"/>
    <xf numFmtId="2" fontId="6" fillId="7" borderId="0" xfId="2" applyNumberFormat="1" applyFont="1" applyFill="1" applyAlignment="1">
      <alignment horizontal="center"/>
    </xf>
    <xf numFmtId="2" fontId="6" fillId="3" borderId="0" xfId="2" applyNumberFormat="1" applyFont="1" applyFill="1" applyAlignment="1">
      <alignment horizontal="center"/>
    </xf>
    <xf numFmtId="0" fontId="16" fillId="0" borderId="0" xfId="0" applyFont="1" applyAlignment="1">
      <alignment horizontal="left" vertical="center"/>
    </xf>
    <xf numFmtId="0" fontId="16" fillId="10" borderId="0" xfId="0" applyFont="1" applyFill="1"/>
    <xf numFmtId="0" fontId="16" fillId="0" borderId="0" xfId="0" applyFont="1"/>
    <xf numFmtId="168" fontId="16" fillId="0" borderId="0" xfId="0" applyNumberFormat="1" applyFont="1"/>
    <xf numFmtId="0" fontId="15" fillId="0" borderId="0" xfId="0" applyFont="1"/>
    <xf numFmtId="10" fontId="16" fillId="0" borderId="0" xfId="0" applyNumberFormat="1" applyFont="1"/>
    <xf numFmtId="0" fontId="15" fillId="0" borderId="0" xfId="0" applyFont="1" applyAlignment="1">
      <alignment horizontal="center" vertical="center"/>
    </xf>
    <xf numFmtId="0" fontId="16" fillId="0" borderId="0" xfId="0" applyFont="1" applyAlignment="1">
      <alignment horizontal="center" vertical="center"/>
    </xf>
    <xf numFmtId="169" fontId="16" fillId="0" borderId="0" xfId="0" applyNumberFormat="1" applyFont="1" applyAlignment="1">
      <alignment horizontal="center" vertical="center"/>
    </xf>
    <xf numFmtId="169" fontId="16" fillId="0" borderId="0" xfId="5" applyNumberFormat="1" applyFont="1" applyAlignment="1">
      <alignment horizontal="center" vertical="center"/>
    </xf>
    <xf numFmtId="164" fontId="16" fillId="0" borderId="0" xfId="0" applyNumberFormat="1" applyFont="1" applyAlignment="1">
      <alignment horizontal="center" vertical="center"/>
    </xf>
    <xf numFmtId="167" fontId="16" fillId="0" borderId="0" xfId="0" applyNumberFormat="1" applyFont="1" applyAlignment="1">
      <alignment horizontal="center" vertical="center"/>
    </xf>
    <xf numFmtId="167" fontId="15" fillId="2" borderId="0" xfId="0" applyNumberFormat="1" applyFont="1" applyFill="1" applyAlignment="1">
      <alignment horizontal="center" vertical="center"/>
    </xf>
    <xf numFmtId="167" fontId="15" fillId="0" borderId="0" xfId="0" applyNumberFormat="1" applyFont="1" applyAlignment="1">
      <alignment horizontal="center" vertical="center"/>
    </xf>
    <xf numFmtId="0" fontId="15" fillId="10" borderId="0" xfId="0" applyFont="1" applyFill="1" applyAlignment="1">
      <alignment horizontal="center" vertical="center"/>
    </xf>
    <xf numFmtId="0" fontId="16" fillId="10" borderId="0" xfId="0" applyFont="1" applyFill="1" applyAlignment="1">
      <alignment horizontal="center" vertical="center"/>
    </xf>
    <xf numFmtId="169" fontId="16" fillId="10" borderId="0" xfId="0" applyNumberFormat="1" applyFont="1" applyFill="1" applyAlignment="1">
      <alignment horizontal="center" vertical="center"/>
    </xf>
    <xf numFmtId="0" fontId="17" fillId="7" borderId="0" xfId="4" applyFont="1" applyFill="1" applyAlignment="1">
      <alignment horizontal="center" vertical="center"/>
    </xf>
    <xf numFmtId="0" fontId="17" fillId="3" borderId="0" xfId="4" applyFont="1" applyFill="1" applyAlignment="1">
      <alignment horizontal="center" vertical="center"/>
    </xf>
    <xf numFmtId="0" fontId="15" fillId="10" borderId="0" xfId="0" applyFont="1" applyFill="1"/>
    <xf numFmtId="0" fontId="18" fillId="0" borderId="0" xfId="0" applyFont="1"/>
    <xf numFmtId="165" fontId="16" fillId="0" borderId="0" xfId="0" applyNumberFormat="1" applyFont="1"/>
    <xf numFmtId="165" fontId="16" fillId="12" borderId="0" xfId="0" applyNumberFormat="1" applyFont="1" applyFill="1"/>
    <xf numFmtId="10" fontId="16" fillId="10" borderId="0" xfId="0" applyNumberFormat="1" applyFont="1" applyFill="1"/>
    <xf numFmtId="171" fontId="18" fillId="0" borderId="0" xfId="0" applyNumberFormat="1" applyFont="1"/>
    <xf numFmtId="165" fontId="18" fillId="0" borderId="0" xfId="0" applyNumberFormat="1" applyFont="1"/>
    <xf numFmtId="0" fontId="18" fillId="0" borderId="0" xfId="0" quotePrefix="1" applyFont="1"/>
    <xf numFmtId="44" fontId="16" fillId="0" borderId="0" xfId="13" applyFont="1"/>
    <xf numFmtId="44" fontId="16" fillId="0" borderId="0" xfId="0" applyNumberFormat="1" applyFont="1"/>
    <xf numFmtId="0" fontId="15" fillId="0" borderId="0" xfId="0" applyFont="1" applyAlignment="1">
      <alignment vertical="center"/>
    </xf>
    <xf numFmtId="44" fontId="16" fillId="10" borderId="0" xfId="13" applyFont="1" applyFill="1"/>
    <xf numFmtId="9" fontId="16" fillId="10" borderId="0" xfId="0" applyNumberFormat="1" applyFont="1" applyFill="1"/>
    <xf numFmtId="170" fontId="18" fillId="10" borderId="0" xfId="0" applyNumberFormat="1" applyFont="1" applyFill="1"/>
    <xf numFmtId="44" fontId="16" fillId="12" borderId="0" xfId="13" applyFont="1" applyFill="1"/>
    <xf numFmtId="44" fontId="16" fillId="7" borderId="0" xfId="13" applyFont="1" applyFill="1"/>
    <xf numFmtId="44" fontId="16" fillId="0" borderId="0" xfId="13" applyFont="1" applyFill="1"/>
    <xf numFmtId="44" fontId="15" fillId="10" borderId="0" xfId="13" applyFont="1" applyFill="1"/>
    <xf numFmtId="2" fontId="18" fillId="11" borderId="0" xfId="0" applyNumberFormat="1" applyFont="1" applyFill="1" applyAlignment="1">
      <alignment horizontal="center" vertical="center"/>
    </xf>
    <xf numFmtId="0" fontId="15" fillId="2" borderId="0" xfId="0" applyFont="1" applyFill="1"/>
    <xf numFmtId="10" fontId="16" fillId="2" borderId="0" xfId="5" applyNumberFormat="1" applyFont="1" applyFill="1" applyAlignment="1"/>
    <xf numFmtId="0" fontId="6" fillId="3" borderId="0" xfId="2" applyFont="1" applyFill="1" applyAlignment="1">
      <alignment horizontal="center"/>
    </xf>
    <xf numFmtId="2" fontId="6" fillId="7" borderId="0" xfId="2" applyNumberFormat="1" applyFont="1" applyFill="1" applyAlignment="1">
      <alignment horizontal="center"/>
    </xf>
    <xf numFmtId="0" fontId="15" fillId="0" borderId="0" xfId="0" applyFont="1" applyAlignment="1">
      <alignment horizontal="left" vertical="center"/>
    </xf>
    <xf numFmtId="0" fontId="16" fillId="0" borderId="0" xfId="0" applyFont="1" applyAlignment="1">
      <alignment horizontal="left" vertical="center"/>
    </xf>
    <xf numFmtId="0" fontId="16" fillId="0" borderId="0" xfId="0" applyFont="1" applyAlignment="1">
      <alignment horizontal="center"/>
    </xf>
    <xf numFmtId="0" fontId="17" fillId="7" borderId="0" xfId="4" applyFont="1" applyFill="1" applyAlignment="1">
      <alignment horizontal="center" vertical="center"/>
    </xf>
    <xf numFmtId="0" fontId="17" fillId="3" borderId="0" xfId="4" applyFont="1" applyFill="1" applyAlignment="1">
      <alignment horizontal="center" vertical="center"/>
    </xf>
    <xf numFmtId="0" fontId="16" fillId="0" borderId="0" xfId="0" applyFont="1" applyAlignment="1">
      <alignment horizontal="center" vertical="center"/>
    </xf>
    <xf numFmtId="0" fontId="16" fillId="10" borderId="0" xfId="0" applyFont="1" applyFill="1" applyAlignment="1">
      <alignment horizontal="center"/>
    </xf>
    <xf numFmtId="0" fontId="15" fillId="0" borderId="0" xfId="0" applyFont="1" applyAlignment="1">
      <alignment horizontal="left"/>
    </xf>
  </cellXfs>
  <cellStyles count="16">
    <cellStyle name="Comma 2" xfId="10" xr:uid="{4B695FC7-B300-4E65-8CB3-163993F820E7}"/>
    <cellStyle name="Currency" xfId="13" builtinId="4"/>
    <cellStyle name="Currency 2" xfId="12" xr:uid="{38271791-FB83-4C5B-8A68-A95B4EB9754C}"/>
    <cellStyle name="Normal" xfId="0" builtinId="0"/>
    <cellStyle name="Normal 2" xfId="1" xr:uid="{00000000-0005-0000-0000-000001000000}"/>
    <cellStyle name="Normal 3" xfId="2" xr:uid="{00000000-0005-0000-0000-000002000000}"/>
    <cellStyle name="Normal 3 2" xfId="3" xr:uid="{00000000-0005-0000-0000-000003000000}"/>
    <cellStyle name="Normal 4" xfId="6" xr:uid="{C8C434B7-08A5-4918-B8A0-C9BC61F2F85A}"/>
    <cellStyle name="Normal 4 2" xfId="9" xr:uid="{FA42AC42-DEF1-4400-89BD-62DB22D05139}"/>
    <cellStyle name="Normal 4 3" xfId="14" xr:uid="{DD40B718-4422-45E2-9F81-479203943D56}"/>
    <cellStyle name="Normal 5" xfId="4" xr:uid="{0B376528-1DA7-48C9-A087-17761E079C00}"/>
    <cellStyle name="Percent" xfId="5" builtinId="5"/>
    <cellStyle name="Percent 2" xfId="7" xr:uid="{EF49AC62-15D8-453A-828D-637FCCBCE271}"/>
    <cellStyle name="Percent 3" xfId="11" xr:uid="{F56194A5-2A87-4F08-8E0E-316B7F5A336D}"/>
    <cellStyle name="Percent 4" xfId="15" xr:uid="{AE355F91-ECF3-4DBC-8893-525A853CA7A7}"/>
    <cellStyle name="常规 3" xfId="8" xr:uid="{29CC7D4E-E617-433F-A438-DA562081BCBA}"/>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136351706036735"/>
          <c:y val="5.1400554097404488E-2"/>
          <c:w val="0.8335253718285216"/>
          <c:h val="0.79822506561679785"/>
        </c:manualLayout>
      </c:layout>
      <c:scatterChart>
        <c:scatterStyle val="smoothMarker"/>
        <c:varyColors val="0"/>
        <c:ser>
          <c:idx val="0"/>
          <c:order val="0"/>
          <c:tx>
            <c:v>Partial info</c:v>
          </c:tx>
          <c:marker>
            <c:symbol val="none"/>
          </c:marker>
          <c:xVal>
            <c:numRef>
              <c:f>'Ex2'!$D$19:$D$28</c:f>
              <c:numCache>
                <c:formatCode>General</c:formatCode>
                <c:ptCount val="10"/>
                <c:pt idx="0">
                  <c:v>0.5</c:v>
                </c:pt>
                <c:pt idx="1">
                  <c:v>1</c:v>
                </c:pt>
                <c:pt idx="2">
                  <c:v>1.5</c:v>
                </c:pt>
                <c:pt idx="3">
                  <c:v>2</c:v>
                </c:pt>
                <c:pt idx="4">
                  <c:v>2.5</c:v>
                </c:pt>
                <c:pt idx="5">
                  <c:v>3</c:v>
                </c:pt>
                <c:pt idx="6">
                  <c:v>3.5</c:v>
                </c:pt>
                <c:pt idx="7">
                  <c:v>4</c:v>
                </c:pt>
                <c:pt idx="8">
                  <c:v>4.5</c:v>
                </c:pt>
                <c:pt idx="9">
                  <c:v>5</c:v>
                </c:pt>
              </c:numCache>
            </c:numRef>
          </c:xVal>
          <c:yVal>
            <c:numRef>
              <c:f>'Ex2'!$G$19:$G$28</c:f>
              <c:numCache>
                <c:formatCode>0.0000%</c:formatCode>
                <c:ptCount val="10"/>
                <c:pt idx="0">
                  <c:v>5.2500000000000213E-2</c:v>
                </c:pt>
                <c:pt idx="1">
                  <c:v>5.5034417734308949E-2</c:v>
                </c:pt>
                <c:pt idx="2">
                  <c:v>5.7612596807941938E-2</c:v>
                </c:pt>
                <c:pt idx="3">
                  <c:v>6.0190775881574926E-2</c:v>
                </c:pt>
                <c:pt idx="4">
                  <c:v>6.2842024085413464E-2</c:v>
                </c:pt>
                <c:pt idx="5">
                  <c:v>6.5493272289252003E-2</c:v>
                </c:pt>
                <c:pt idx="6">
                  <c:v>6.7141732198797835E-2</c:v>
                </c:pt>
                <c:pt idx="7">
                  <c:v>6.8790192108343667E-2</c:v>
                </c:pt>
                <c:pt idx="8">
                  <c:v>7.0438652017889486E-2</c:v>
                </c:pt>
                <c:pt idx="9">
                  <c:v>7.2087111927435318E-2</c:v>
                </c:pt>
              </c:numCache>
            </c:numRef>
          </c:yVal>
          <c:smooth val="1"/>
          <c:extLst>
            <c:ext xmlns:c16="http://schemas.microsoft.com/office/drawing/2014/chart" uri="{C3380CC4-5D6E-409C-BE32-E72D297353CC}">
              <c16:uniqueId val="{00000000-3D02-4BC5-922B-306F2C100A5C}"/>
            </c:ext>
          </c:extLst>
        </c:ser>
        <c:ser>
          <c:idx val="1"/>
          <c:order val="1"/>
          <c:tx>
            <c:v>Full info</c:v>
          </c:tx>
          <c:marker>
            <c:symbol val="none"/>
          </c:marker>
          <c:xVal>
            <c:numRef>
              <c:f>'Ex2'!$D$6:$D$15</c:f>
              <c:numCache>
                <c:formatCode>General</c:formatCode>
                <c:ptCount val="10"/>
                <c:pt idx="0">
                  <c:v>0.5</c:v>
                </c:pt>
                <c:pt idx="1">
                  <c:v>1</c:v>
                </c:pt>
                <c:pt idx="2">
                  <c:v>1.5</c:v>
                </c:pt>
                <c:pt idx="3">
                  <c:v>2</c:v>
                </c:pt>
                <c:pt idx="4">
                  <c:v>2.5</c:v>
                </c:pt>
                <c:pt idx="5">
                  <c:v>3</c:v>
                </c:pt>
                <c:pt idx="6">
                  <c:v>3.5</c:v>
                </c:pt>
                <c:pt idx="7">
                  <c:v>4</c:v>
                </c:pt>
                <c:pt idx="8">
                  <c:v>4.5</c:v>
                </c:pt>
                <c:pt idx="9">
                  <c:v>5</c:v>
                </c:pt>
              </c:numCache>
            </c:numRef>
          </c:xVal>
          <c:yVal>
            <c:numRef>
              <c:f>'Ex2'!$G$6:$G$15</c:f>
              <c:numCache>
                <c:formatCode>0.0000%</c:formatCode>
                <c:ptCount val="10"/>
                <c:pt idx="0">
                  <c:v>5.2500000000000213E-2</c:v>
                </c:pt>
                <c:pt idx="1">
                  <c:v>5.5034417734308949E-2</c:v>
                </c:pt>
                <c:pt idx="2">
                  <c:v>5.7596765529686511E-2</c:v>
                </c:pt>
                <c:pt idx="3">
                  <c:v>6.0191133728880075E-2</c:v>
                </c:pt>
                <c:pt idx="4">
                  <c:v>6.2821958686090085E-2</c:v>
                </c:pt>
                <c:pt idx="5">
                  <c:v>6.5494086944738239E-2</c:v>
                </c:pt>
                <c:pt idx="6">
                  <c:v>6.821285076018091E-2</c:v>
                </c:pt>
                <c:pt idx="7">
                  <c:v>6.9836544503029785E-2</c:v>
                </c:pt>
                <c:pt idx="8">
                  <c:v>7.0910577807171471E-2</c:v>
                </c:pt>
                <c:pt idx="9">
                  <c:v>7.2012291872333378E-2</c:v>
                </c:pt>
              </c:numCache>
            </c:numRef>
          </c:yVal>
          <c:smooth val="1"/>
          <c:extLst>
            <c:ext xmlns:c16="http://schemas.microsoft.com/office/drawing/2014/chart" uri="{C3380CC4-5D6E-409C-BE32-E72D297353CC}">
              <c16:uniqueId val="{00000001-3D02-4BC5-922B-306F2C100A5C}"/>
            </c:ext>
          </c:extLst>
        </c:ser>
        <c:dLbls>
          <c:showLegendKey val="0"/>
          <c:showVal val="0"/>
          <c:showCatName val="0"/>
          <c:showSerName val="0"/>
          <c:showPercent val="0"/>
          <c:showBubbleSize val="0"/>
        </c:dLbls>
        <c:axId val="183005952"/>
        <c:axId val="183007488"/>
      </c:scatterChart>
      <c:valAx>
        <c:axId val="183005952"/>
        <c:scaling>
          <c:orientation val="minMax"/>
          <c:max val="5"/>
        </c:scaling>
        <c:delete val="0"/>
        <c:axPos val="b"/>
        <c:numFmt formatCode="General" sourceLinked="1"/>
        <c:majorTickMark val="out"/>
        <c:minorTickMark val="none"/>
        <c:tickLblPos val="nextTo"/>
        <c:crossAx val="183007488"/>
        <c:crosses val="autoZero"/>
        <c:crossBetween val="midCat"/>
      </c:valAx>
      <c:valAx>
        <c:axId val="183007488"/>
        <c:scaling>
          <c:orientation val="minMax"/>
          <c:max val="7.5000000000000011E-2"/>
          <c:min val="0.05"/>
        </c:scaling>
        <c:delete val="0"/>
        <c:axPos val="l"/>
        <c:majorGridlines/>
        <c:numFmt formatCode="0.0%" sourceLinked="0"/>
        <c:majorTickMark val="out"/>
        <c:minorTickMark val="none"/>
        <c:tickLblPos val="nextTo"/>
        <c:crossAx val="183005952"/>
        <c:crosses val="autoZero"/>
        <c:crossBetween val="midCat"/>
      </c:valAx>
    </c:plotArea>
    <c:legend>
      <c:legendPos val="r"/>
      <c:layout>
        <c:manualLayout>
          <c:xMode val="edge"/>
          <c:yMode val="edge"/>
          <c:x val="0.14940527320448579"/>
          <c:y val="6.2548198188318388E-2"/>
          <c:w val="0.18763898830827971"/>
          <c:h val="0.12055275590551236"/>
        </c:manualLayout>
      </c:layout>
      <c:overlay val="0"/>
    </c:legend>
    <c:plotVisOnly val="1"/>
    <c:dispBlanksAs val="gap"/>
    <c:showDLblsOverMax val="0"/>
  </c:chart>
  <c:printSettings>
    <c:headerFooter/>
    <c:pageMargins b="0.75000000000000266" l="0.70000000000000062" r="0.70000000000000062" t="0.75000000000000266"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marker>
            <c:symbol val="none"/>
          </c:marker>
          <c:xVal>
            <c:numRef>
              <c:f>'Ex4'!$G$9:$G$21</c:f>
              <c:numCache>
                <c:formatCode>0.0000</c:formatCode>
                <c:ptCount val="13"/>
                <c:pt idx="0">
                  <c:v>0.24931506849315069</c:v>
                </c:pt>
                <c:pt idx="1">
                  <c:v>0.49863013698630138</c:v>
                </c:pt>
                <c:pt idx="2">
                  <c:v>1.3186813186813187</c:v>
                </c:pt>
                <c:pt idx="3">
                  <c:v>2.3186813186813189</c:v>
                </c:pt>
                <c:pt idx="4">
                  <c:v>3.3186813186813189</c:v>
                </c:pt>
                <c:pt idx="5">
                  <c:v>5.3186813186813184</c:v>
                </c:pt>
                <c:pt idx="6">
                  <c:v>7.3186813186813184</c:v>
                </c:pt>
                <c:pt idx="7">
                  <c:v>10.318681318681319</c:v>
                </c:pt>
                <c:pt idx="8">
                  <c:v>15.318681318681319</c:v>
                </c:pt>
                <c:pt idx="9">
                  <c:v>19.318681318681318</c:v>
                </c:pt>
                <c:pt idx="10">
                  <c:v>23.318681318681318</c:v>
                </c:pt>
                <c:pt idx="11">
                  <c:v>27.318681318681318</c:v>
                </c:pt>
                <c:pt idx="12">
                  <c:v>31.318681318681318</c:v>
                </c:pt>
              </c:numCache>
            </c:numRef>
          </c:xVal>
          <c:yVal>
            <c:numRef>
              <c:f>'Ex4'!$K$9:$K$21</c:f>
              <c:numCache>
                <c:formatCode>0.0000</c:formatCode>
                <c:ptCount val="13"/>
                <c:pt idx="0">
                  <c:v>1.5002820207405954E-3</c:v>
                </c:pt>
                <c:pt idx="1">
                  <c:v>2.3000036219071873E-3</c:v>
                </c:pt>
                <c:pt idx="2">
                  <c:v>8.2272035712298471E-3</c:v>
                </c:pt>
                <c:pt idx="3">
                  <c:v>1.4334968368852466E-2</c:v>
                </c:pt>
                <c:pt idx="4">
                  <c:v>1.9750663158380807E-2</c:v>
                </c:pt>
                <c:pt idx="5">
                  <c:v>2.6073142931933434E-2</c:v>
                </c:pt>
                <c:pt idx="6">
                  <c:v>3.103303918882263E-2</c:v>
                </c:pt>
                <c:pt idx="7">
                  <c:v>3.6548664382743734E-2</c:v>
                </c:pt>
                <c:pt idx="8">
                  <c:v>4.3783174005260272E-2</c:v>
                </c:pt>
                <c:pt idx="9">
                  <c:v>4.2932520443761869E-2</c:v>
                </c:pt>
                <c:pt idx="10">
                  <c:v>4.2957362470663653E-2</c:v>
                </c:pt>
                <c:pt idx="11">
                  <c:v>4.1046523202330945E-2</c:v>
                </c:pt>
                <c:pt idx="12">
                  <c:v>4.0481139065995111E-2</c:v>
                </c:pt>
              </c:numCache>
            </c:numRef>
          </c:yVal>
          <c:smooth val="0"/>
          <c:extLst>
            <c:ext xmlns:c16="http://schemas.microsoft.com/office/drawing/2014/chart" uri="{C3380CC4-5D6E-409C-BE32-E72D297353CC}">
              <c16:uniqueId val="{00000000-A8FE-4E1E-9BEB-AF581B0FF562}"/>
            </c:ext>
          </c:extLst>
        </c:ser>
        <c:dLbls>
          <c:showLegendKey val="0"/>
          <c:showVal val="0"/>
          <c:showCatName val="0"/>
          <c:showSerName val="0"/>
          <c:showPercent val="0"/>
          <c:showBubbleSize val="0"/>
        </c:dLbls>
        <c:axId val="183530624"/>
        <c:axId val="183532160"/>
      </c:scatterChart>
      <c:valAx>
        <c:axId val="183530624"/>
        <c:scaling>
          <c:orientation val="minMax"/>
        </c:scaling>
        <c:delete val="0"/>
        <c:axPos val="b"/>
        <c:numFmt formatCode="0" sourceLinked="0"/>
        <c:majorTickMark val="out"/>
        <c:minorTickMark val="none"/>
        <c:tickLblPos val="nextTo"/>
        <c:crossAx val="183532160"/>
        <c:crosses val="autoZero"/>
        <c:crossBetween val="midCat"/>
      </c:valAx>
      <c:valAx>
        <c:axId val="183532160"/>
        <c:scaling>
          <c:orientation val="minMax"/>
        </c:scaling>
        <c:delete val="0"/>
        <c:axPos val="l"/>
        <c:majorGridlines/>
        <c:numFmt formatCode="0.000" sourceLinked="0"/>
        <c:majorTickMark val="out"/>
        <c:minorTickMark val="none"/>
        <c:tickLblPos val="nextTo"/>
        <c:crossAx val="183530624"/>
        <c:crosses val="autoZero"/>
        <c:crossBetween val="midCat"/>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Spot rates</a:t>
            </a:r>
          </a:p>
        </c:rich>
      </c:tx>
      <c:overlay val="0"/>
    </c:title>
    <c:autoTitleDeleted val="0"/>
    <c:plotArea>
      <c:layout>
        <c:manualLayout>
          <c:layoutTarget val="inner"/>
          <c:xMode val="edge"/>
          <c:yMode val="edge"/>
          <c:x val="0.11966885389326334"/>
          <c:y val="0.10525082789530145"/>
          <c:w val="0.80781036745406831"/>
          <c:h val="0.74437476413994297"/>
        </c:manualLayout>
      </c:layout>
      <c:scatterChart>
        <c:scatterStyle val="lineMarker"/>
        <c:varyColors val="0"/>
        <c:ser>
          <c:idx val="0"/>
          <c:order val="0"/>
          <c:tx>
            <c:v>Cubic splines</c:v>
          </c:tx>
          <c:spPr>
            <a:ln w="22225">
              <a:solidFill>
                <a:schemeClr val="tx1"/>
              </a:solidFill>
            </a:ln>
          </c:spPr>
          <c:marker>
            <c:symbol val="none"/>
          </c:marker>
          <c:xVal>
            <c:numRef>
              <c:f>'Ex5'!$K$9:$K$128</c:f>
              <c:numCache>
                <c:formatCode>General</c:formatCode>
                <c:ptCount val="120"/>
                <c:pt idx="0">
                  <c:v>0.25</c:v>
                </c:pt>
                <c:pt idx="1">
                  <c:v>0.5</c:v>
                </c:pt>
                <c:pt idx="2">
                  <c:v>0.75</c:v>
                </c:pt>
                <c:pt idx="3">
                  <c:v>1</c:v>
                </c:pt>
                <c:pt idx="4">
                  <c:v>1.25</c:v>
                </c:pt>
                <c:pt idx="5">
                  <c:v>1.5</c:v>
                </c:pt>
                <c:pt idx="6">
                  <c:v>1.75</c:v>
                </c:pt>
                <c:pt idx="7">
                  <c:v>2</c:v>
                </c:pt>
                <c:pt idx="8">
                  <c:v>2.25</c:v>
                </c:pt>
                <c:pt idx="9">
                  <c:v>2.5</c:v>
                </c:pt>
                <c:pt idx="10">
                  <c:v>2.75</c:v>
                </c:pt>
                <c:pt idx="11">
                  <c:v>3</c:v>
                </c:pt>
                <c:pt idx="12">
                  <c:v>3.25</c:v>
                </c:pt>
                <c:pt idx="13">
                  <c:v>3.5</c:v>
                </c:pt>
                <c:pt idx="14">
                  <c:v>3.75</c:v>
                </c:pt>
                <c:pt idx="15">
                  <c:v>4</c:v>
                </c:pt>
                <c:pt idx="16">
                  <c:v>4.25</c:v>
                </c:pt>
                <c:pt idx="17">
                  <c:v>4.5</c:v>
                </c:pt>
                <c:pt idx="18">
                  <c:v>4.75</c:v>
                </c:pt>
                <c:pt idx="19">
                  <c:v>5</c:v>
                </c:pt>
                <c:pt idx="20">
                  <c:v>5.25</c:v>
                </c:pt>
                <c:pt idx="21">
                  <c:v>5.5</c:v>
                </c:pt>
                <c:pt idx="22">
                  <c:v>5.75</c:v>
                </c:pt>
                <c:pt idx="23">
                  <c:v>6</c:v>
                </c:pt>
                <c:pt idx="24">
                  <c:v>6.25</c:v>
                </c:pt>
                <c:pt idx="25">
                  <c:v>6.5</c:v>
                </c:pt>
                <c:pt idx="26">
                  <c:v>6.75</c:v>
                </c:pt>
                <c:pt idx="27">
                  <c:v>7</c:v>
                </c:pt>
                <c:pt idx="28">
                  <c:v>7.25</c:v>
                </c:pt>
                <c:pt idx="29">
                  <c:v>7.5</c:v>
                </c:pt>
                <c:pt idx="30">
                  <c:v>7.75</c:v>
                </c:pt>
                <c:pt idx="31">
                  <c:v>8</c:v>
                </c:pt>
                <c:pt idx="32">
                  <c:v>8.25</c:v>
                </c:pt>
                <c:pt idx="33">
                  <c:v>8.5</c:v>
                </c:pt>
                <c:pt idx="34">
                  <c:v>8.75</c:v>
                </c:pt>
                <c:pt idx="35">
                  <c:v>9</c:v>
                </c:pt>
                <c:pt idx="36">
                  <c:v>9.25</c:v>
                </c:pt>
                <c:pt idx="37">
                  <c:v>9.5</c:v>
                </c:pt>
                <c:pt idx="38">
                  <c:v>9.75</c:v>
                </c:pt>
                <c:pt idx="39">
                  <c:v>10</c:v>
                </c:pt>
                <c:pt idx="40">
                  <c:v>10.25</c:v>
                </c:pt>
                <c:pt idx="41">
                  <c:v>10.5</c:v>
                </c:pt>
                <c:pt idx="42">
                  <c:v>10.75</c:v>
                </c:pt>
                <c:pt idx="43">
                  <c:v>11</c:v>
                </c:pt>
                <c:pt idx="44">
                  <c:v>11.25</c:v>
                </c:pt>
                <c:pt idx="45">
                  <c:v>11.5</c:v>
                </c:pt>
                <c:pt idx="46">
                  <c:v>11.75</c:v>
                </c:pt>
                <c:pt idx="47">
                  <c:v>12</c:v>
                </c:pt>
                <c:pt idx="48">
                  <c:v>12.25</c:v>
                </c:pt>
                <c:pt idx="49">
                  <c:v>12.5</c:v>
                </c:pt>
                <c:pt idx="50">
                  <c:v>12.75</c:v>
                </c:pt>
                <c:pt idx="51">
                  <c:v>13</c:v>
                </c:pt>
                <c:pt idx="52">
                  <c:v>13.25</c:v>
                </c:pt>
                <c:pt idx="53">
                  <c:v>13.5</c:v>
                </c:pt>
                <c:pt idx="54">
                  <c:v>13.75</c:v>
                </c:pt>
                <c:pt idx="55">
                  <c:v>14</c:v>
                </c:pt>
                <c:pt idx="56">
                  <c:v>14.25</c:v>
                </c:pt>
                <c:pt idx="57">
                  <c:v>14.5</c:v>
                </c:pt>
                <c:pt idx="58">
                  <c:v>14.75</c:v>
                </c:pt>
                <c:pt idx="59">
                  <c:v>15</c:v>
                </c:pt>
                <c:pt idx="60">
                  <c:v>15.25</c:v>
                </c:pt>
                <c:pt idx="61">
                  <c:v>15.5</c:v>
                </c:pt>
                <c:pt idx="62">
                  <c:v>15.75</c:v>
                </c:pt>
                <c:pt idx="63">
                  <c:v>16</c:v>
                </c:pt>
                <c:pt idx="64">
                  <c:v>16.25</c:v>
                </c:pt>
                <c:pt idx="65">
                  <c:v>16.5</c:v>
                </c:pt>
                <c:pt idx="66">
                  <c:v>16.75</c:v>
                </c:pt>
                <c:pt idx="67">
                  <c:v>17</c:v>
                </c:pt>
                <c:pt idx="68">
                  <c:v>17.25</c:v>
                </c:pt>
                <c:pt idx="69">
                  <c:v>17.5</c:v>
                </c:pt>
                <c:pt idx="70">
                  <c:v>17.75</c:v>
                </c:pt>
                <c:pt idx="71">
                  <c:v>18</c:v>
                </c:pt>
                <c:pt idx="72">
                  <c:v>18.25</c:v>
                </c:pt>
                <c:pt idx="73">
                  <c:v>18.5</c:v>
                </c:pt>
                <c:pt idx="74">
                  <c:v>18.75</c:v>
                </c:pt>
                <c:pt idx="75">
                  <c:v>19</c:v>
                </c:pt>
                <c:pt idx="76">
                  <c:v>19.25</c:v>
                </c:pt>
                <c:pt idx="77">
                  <c:v>19.5</c:v>
                </c:pt>
                <c:pt idx="78">
                  <c:v>19.75</c:v>
                </c:pt>
                <c:pt idx="79">
                  <c:v>20</c:v>
                </c:pt>
                <c:pt idx="80">
                  <c:v>20.25</c:v>
                </c:pt>
                <c:pt idx="81">
                  <c:v>20.5</c:v>
                </c:pt>
                <c:pt idx="82">
                  <c:v>20.75</c:v>
                </c:pt>
                <c:pt idx="83">
                  <c:v>21</c:v>
                </c:pt>
                <c:pt idx="84">
                  <c:v>21.25</c:v>
                </c:pt>
                <c:pt idx="85">
                  <c:v>21.5</c:v>
                </c:pt>
                <c:pt idx="86">
                  <c:v>21.75</c:v>
                </c:pt>
                <c:pt idx="87">
                  <c:v>22</c:v>
                </c:pt>
                <c:pt idx="88">
                  <c:v>22.25</c:v>
                </c:pt>
                <c:pt idx="89">
                  <c:v>22.5</c:v>
                </c:pt>
                <c:pt idx="90">
                  <c:v>22.75</c:v>
                </c:pt>
                <c:pt idx="91">
                  <c:v>23</c:v>
                </c:pt>
                <c:pt idx="92">
                  <c:v>23.25</c:v>
                </c:pt>
                <c:pt idx="93">
                  <c:v>23.5</c:v>
                </c:pt>
                <c:pt idx="94">
                  <c:v>23.75</c:v>
                </c:pt>
                <c:pt idx="95">
                  <c:v>24</c:v>
                </c:pt>
                <c:pt idx="96">
                  <c:v>24.25</c:v>
                </c:pt>
                <c:pt idx="97">
                  <c:v>24.5</c:v>
                </c:pt>
                <c:pt idx="98">
                  <c:v>24.75</c:v>
                </c:pt>
                <c:pt idx="99">
                  <c:v>25</c:v>
                </c:pt>
                <c:pt idx="100">
                  <c:v>25.25</c:v>
                </c:pt>
                <c:pt idx="101">
                  <c:v>25.5</c:v>
                </c:pt>
                <c:pt idx="102">
                  <c:v>25.75</c:v>
                </c:pt>
                <c:pt idx="103">
                  <c:v>26</c:v>
                </c:pt>
                <c:pt idx="104">
                  <c:v>26.25</c:v>
                </c:pt>
                <c:pt idx="105">
                  <c:v>26.5</c:v>
                </c:pt>
                <c:pt idx="106">
                  <c:v>26.75</c:v>
                </c:pt>
                <c:pt idx="107">
                  <c:v>27</c:v>
                </c:pt>
                <c:pt idx="108">
                  <c:v>27.25</c:v>
                </c:pt>
                <c:pt idx="109">
                  <c:v>27.5</c:v>
                </c:pt>
                <c:pt idx="110">
                  <c:v>27.75</c:v>
                </c:pt>
                <c:pt idx="111">
                  <c:v>28</c:v>
                </c:pt>
                <c:pt idx="112">
                  <c:v>28.25</c:v>
                </c:pt>
                <c:pt idx="113">
                  <c:v>28.5</c:v>
                </c:pt>
                <c:pt idx="114">
                  <c:v>28.75</c:v>
                </c:pt>
                <c:pt idx="115">
                  <c:v>29</c:v>
                </c:pt>
                <c:pt idx="116">
                  <c:v>29.25</c:v>
                </c:pt>
                <c:pt idx="117">
                  <c:v>29.5</c:v>
                </c:pt>
                <c:pt idx="118">
                  <c:v>29.75</c:v>
                </c:pt>
                <c:pt idx="119">
                  <c:v>30</c:v>
                </c:pt>
              </c:numCache>
            </c:numRef>
          </c:xVal>
          <c:yVal>
            <c:numRef>
              <c:f>'Ex5'!$M$9:$M$128</c:f>
              <c:numCache>
                <c:formatCode>0.00000</c:formatCode>
                <c:ptCount val="120"/>
                <c:pt idx="0">
                  <c:v>1.5002900343083199E-3</c:v>
                </c:pt>
                <c:pt idx="1">
                  <c:v>2.3073562733822539E-3</c:v>
                </c:pt>
                <c:pt idx="2">
                  <c:v>3.8850701943631129E-3</c:v>
                </c:pt>
                <c:pt idx="3">
                  <c:v>5.7687467009021566E-3</c:v>
                </c:pt>
                <c:pt idx="4">
                  <c:v>7.7142892890307959E-3</c:v>
                </c:pt>
                <c:pt idx="5">
                  <c:v>9.4976453452542721E-3</c:v>
                </c:pt>
                <c:pt idx="6">
                  <c:v>1.108439118341868E-2</c:v>
                </c:pt>
                <c:pt idx="7">
                  <c:v>1.2544569563200405E-2</c:v>
                </c:pt>
                <c:pt idx="8">
                  <c:v>1.3949312601305681E-2</c:v>
                </c:pt>
                <c:pt idx="9">
                  <c:v>1.53622659246078E-2</c:v>
                </c:pt>
                <c:pt idx="10">
                  <c:v>1.67762478403824E-2</c:v>
                </c:pt>
                <c:pt idx="11">
                  <c:v>1.8145057934184711E-2</c:v>
                </c:pt>
                <c:pt idx="12">
                  <c:v>1.9422088911461577E-2</c:v>
                </c:pt>
                <c:pt idx="13">
                  <c:v>2.0565003952277536E-2</c:v>
                </c:pt>
                <c:pt idx="14">
                  <c:v>2.1571867850447943E-2</c:v>
                </c:pt>
                <c:pt idx="15">
                  <c:v>2.2463002621054686E-2</c:v>
                </c:pt>
                <c:pt idx="16">
                  <c:v>2.3258962373420608E-2</c:v>
                </c:pt>
                <c:pt idx="17">
                  <c:v>2.3980301216868567E-2</c:v>
                </c:pt>
                <c:pt idx="18">
                  <c:v>2.4647573260721398E-2</c:v>
                </c:pt>
                <c:pt idx="19">
                  <c:v>2.5281332614301971E-2</c:v>
                </c:pt>
                <c:pt idx="20">
                  <c:v>2.5902133386933111E-2</c:v>
                </c:pt>
                <c:pt idx="21">
                  <c:v>2.6528882863559058E-2</c:v>
                </c:pt>
                <c:pt idx="22">
                  <c:v>2.7164908242970316E-2</c:v>
                </c:pt>
                <c:pt idx="23">
                  <c:v>2.7804953665196107E-2</c:v>
                </c:pt>
                <c:pt idx="24">
                  <c:v>2.8443673767695465E-2</c:v>
                </c:pt>
                <c:pt idx="25">
                  <c:v>2.9075723187927432E-2</c:v>
                </c:pt>
                <c:pt idx="26">
                  <c:v>2.9695756563351043E-2</c:v>
                </c:pt>
                <c:pt idx="27">
                  <c:v>3.029842853142534E-2</c:v>
                </c:pt>
                <c:pt idx="28">
                  <c:v>3.0878393729609366E-2</c:v>
                </c:pt>
                <c:pt idx="29">
                  <c:v>3.1430852903337365E-2</c:v>
                </c:pt>
                <c:pt idx="30">
                  <c:v>3.1956173353393139E-2</c:v>
                </c:pt>
                <c:pt idx="31">
                  <c:v>3.2457568632354009E-2</c:v>
                </c:pt>
                <c:pt idx="32">
                  <c:v>3.2938281972991514E-2</c:v>
                </c:pt>
                <c:pt idx="33">
                  <c:v>3.3401556608077178E-2</c:v>
                </c:pt>
                <c:pt idx="34">
                  <c:v>3.3850635770382533E-2</c:v>
                </c:pt>
                <c:pt idx="35">
                  <c:v>3.428876269267913E-2</c:v>
                </c:pt>
                <c:pt idx="36">
                  <c:v>3.471918060773848E-2</c:v>
                </c:pt>
                <c:pt idx="37">
                  <c:v>3.5145132748332121E-2</c:v>
                </c:pt>
                <c:pt idx="38">
                  <c:v>3.5569862347231598E-2</c:v>
                </c:pt>
                <c:pt idx="39">
                  <c:v>3.5996612637208429E-2</c:v>
                </c:pt>
                <c:pt idx="40">
                  <c:v>3.6428626851034145E-2</c:v>
                </c:pt>
                <c:pt idx="41">
                  <c:v>3.6868779434958747E-2</c:v>
                </c:pt>
                <c:pt idx="42">
                  <c:v>3.7316455862241207E-2</c:v>
                </c:pt>
                <c:pt idx="43">
                  <c:v>3.7769119533316055E-2</c:v>
                </c:pt>
                <c:pt idx="44">
                  <c:v>3.8224213805593217E-2</c:v>
                </c:pt>
                <c:pt idx="45">
                  <c:v>3.8679182036482657E-2</c:v>
                </c:pt>
                <c:pt idx="46">
                  <c:v>3.9131467583394294E-2</c:v>
                </c:pt>
                <c:pt idx="47">
                  <c:v>3.9578513803738058E-2</c:v>
                </c:pt>
                <c:pt idx="48">
                  <c:v>4.001776405492391E-2</c:v>
                </c:pt>
                <c:pt idx="49">
                  <c:v>4.0446661694361785E-2</c:v>
                </c:pt>
                <c:pt idx="50">
                  <c:v>4.0862650079461604E-2</c:v>
                </c:pt>
                <c:pt idx="51">
                  <c:v>4.1263172567633316E-2</c:v>
                </c:pt>
                <c:pt idx="52">
                  <c:v>4.1645672516286862E-2</c:v>
                </c:pt>
                <c:pt idx="53">
                  <c:v>4.200759328283217E-2</c:v>
                </c:pt>
                <c:pt idx="54">
                  <c:v>4.2346378224679196E-2</c:v>
                </c:pt>
                <c:pt idx="55">
                  <c:v>4.2659470699237853E-2</c:v>
                </c:pt>
                <c:pt idx="56">
                  <c:v>4.2944314063918104E-2</c:v>
                </c:pt>
                <c:pt idx="57">
                  <c:v>4.3198351676129884E-2</c:v>
                </c:pt>
                <c:pt idx="58">
                  <c:v>4.3419026893283114E-2</c:v>
                </c:pt>
                <c:pt idx="59">
                  <c:v>4.3603783072787734E-2</c:v>
                </c:pt>
                <c:pt idx="60">
                  <c:v>4.3750063572053702E-2</c:v>
                </c:pt>
                <c:pt idx="61">
                  <c:v>4.3855721536245798E-2</c:v>
                </c:pt>
                <c:pt idx="62">
                  <c:v>4.392248698325938E-2</c:v>
                </c:pt>
                <c:pt idx="63">
                  <c:v>4.3954225697514254E-2</c:v>
                </c:pt>
                <c:pt idx="64">
                  <c:v>4.3954825734813817E-2</c:v>
                </c:pt>
                <c:pt idx="65">
                  <c:v>4.3928175150961382E-2</c:v>
                </c:pt>
                <c:pt idx="66">
                  <c:v>4.3878162001760326E-2</c:v>
                </c:pt>
                <c:pt idx="67">
                  <c:v>4.380867434301397E-2</c:v>
                </c:pt>
                <c:pt idx="68">
                  <c:v>4.3723600230525669E-2</c:v>
                </c:pt>
                <c:pt idx="69">
                  <c:v>4.3626827720098793E-2</c:v>
                </c:pt>
                <c:pt idx="70">
                  <c:v>4.3522244867536662E-2</c:v>
                </c:pt>
                <c:pt idx="71">
                  <c:v>4.3413739728642646E-2</c:v>
                </c:pt>
                <c:pt idx="72">
                  <c:v>4.3305200359220072E-2</c:v>
                </c:pt>
                <c:pt idx="73">
                  <c:v>4.3200514815072304E-2</c:v>
                </c:pt>
                <c:pt idx="74">
                  <c:v>4.3103571152002675E-2</c:v>
                </c:pt>
                <c:pt idx="75">
                  <c:v>4.3018257425814561E-2</c:v>
                </c:pt>
                <c:pt idx="76">
                  <c:v>4.2948461692311285E-2</c:v>
                </c:pt>
                <c:pt idx="77">
                  <c:v>4.2897665356789953E-2</c:v>
                </c:pt>
                <c:pt idx="78">
                  <c:v>4.2865502632337106E-2</c:v>
                </c:pt>
                <c:pt idx="79">
                  <c:v>4.2849488316492795E-2</c:v>
                </c:pt>
                <c:pt idx="80">
                  <c:v>4.2847115105918585E-2</c:v>
                </c:pt>
                <c:pt idx="81">
                  <c:v>4.2855875697276072E-2</c:v>
                </c:pt>
                <c:pt idx="82">
                  <c:v>4.2873262787226814E-2</c:v>
                </c:pt>
                <c:pt idx="83">
                  <c:v>4.2896769072432395E-2</c:v>
                </c:pt>
                <c:pt idx="84">
                  <c:v>4.2923887249554385E-2</c:v>
                </c:pt>
                <c:pt idx="85">
                  <c:v>4.2952110015254362E-2</c:v>
                </c:pt>
                <c:pt idx="86">
                  <c:v>4.2978930066193903E-2</c:v>
                </c:pt>
                <c:pt idx="87">
                  <c:v>4.3001840099034586E-2</c:v>
                </c:pt>
                <c:pt idx="88">
                  <c:v>4.301833281043798E-2</c:v>
                </c:pt>
                <c:pt idx="89">
                  <c:v>4.3025900897065664E-2</c:v>
                </c:pt>
                <c:pt idx="90">
                  <c:v>4.3022037055579214E-2</c:v>
                </c:pt>
                <c:pt idx="91">
                  <c:v>4.3004233982640201E-2</c:v>
                </c:pt>
                <c:pt idx="92">
                  <c:v>4.296998437491021E-2</c:v>
                </c:pt>
                <c:pt idx="93">
                  <c:v>4.2917069003676617E-2</c:v>
                </c:pt>
                <c:pt idx="94">
                  <c:v>4.2845994023423151E-2</c:v>
                </c:pt>
                <c:pt idx="95">
                  <c:v>4.2758767000364517E-2</c:v>
                </c:pt>
                <c:pt idx="96">
                  <c:v>4.2657411157162942E-2</c:v>
                </c:pt>
                <c:pt idx="97">
                  <c:v>4.2543949716480636E-2</c:v>
                </c:pt>
                <c:pt idx="98">
                  <c:v>4.242040590097982E-2</c:v>
                </c:pt>
                <c:pt idx="99">
                  <c:v>4.2288802933322697E-2</c:v>
                </c:pt>
                <c:pt idx="100">
                  <c:v>4.2151164036171473E-2</c:v>
                </c:pt>
                <c:pt idx="101">
                  <c:v>4.2009512432188381E-2</c:v>
                </c:pt>
                <c:pt idx="102">
                  <c:v>4.1865871344035611E-2</c:v>
                </c:pt>
                <c:pt idx="103">
                  <c:v>4.1722263994375404E-2</c:v>
                </c:pt>
                <c:pt idx="104">
                  <c:v>4.1580713605869943E-2</c:v>
                </c:pt>
                <c:pt idx="105">
                  <c:v>4.1443243401181468E-2</c:v>
                </c:pt>
                <c:pt idx="106">
                  <c:v>4.1311876602972177E-2</c:v>
                </c:pt>
                <c:pt idx="107">
                  <c:v>4.1188636433904295E-2</c:v>
                </c:pt>
                <c:pt idx="108">
                  <c:v>4.1075546116640008E-2</c:v>
                </c:pt>
                <c:pt idx="109">
                  <c:v>4.0974450678864315E-2</c:v>
                </c:pt>
                <c:pt idx="110">
                  <c:v>4.0885509301772677E-2</c:v>
                </c:pt>
                <c:pt idx="111">
                  <c:v>4.0807952434887371E-2</c:v>
                </c:pt>
                <c:pt idx="112">
                  <c:v>4.0741000843086288E-2</c:v>
                </c:pt>
                <c:pt idx="113">
                  <c:v>4.0683875291247319E-2</c:v>
                </c:pt>
                <c:pt idx="114">
                  <c:v>4.0635796544248384E-2</c:v>
                </c:pt>
                <c:pt idx="115">
                  <c:v>4.0595985366967374E-2</c:v>
                </c:pt>
                <c:pt idx="116">
                  <c:v>4.056366252428218E-2</c:v>
                </c:pt>
                <c:pt idx="117">
                  <c:v>4.0538048781070708E-2</c:v>
                </c:pt>
                <c:pt idx="118">
                  <c:v>4.0518364902210856E-2</c:v>
                </c:pt>
                <c:pt idx="119">
                  <c:v>4.0503831652580521E-2</c:v>
                </c:pt>
              </c:numCache>
            </c:numRef>
          </c:yVal>
          <c:smooth val="0"/>
          <c:extLst>
            <c:ext xmlns:c16="http://schemas.microsoft.com/office/drawing/2014/chart" uri="{C3380CC4-5D6E-409C-BE32-E72D297353CC}">
              <c16:uniqueId val="{00000000-04E7-47A4-863A-9C89823BF1C4}"/>
            </c:ext>
          </c:extLst>
        </c:ser>
        <c:ser>
          <c:idx val="1"/>
          <c:order val="1"/>
          <c:tx>
            <c:v>Bootstrapping</c:v>
          </c:tx>
          <c:spPr>
            <a:ln w="22225">
              <a:solidFill>
                <a:srgbClr val="FFC000"/>
              </a:solidFill>
            </a:ln>
          </c:spPr>
          <c:marker>
            <c:symbol val="none"/>
          </c:marker>
          <c:xVal>
            <c:numRef>
              <c:f>'Ex5'!$G$9:$G$30</c:f>
              <c:numCache>
                <c:formatCode>0.0000</c:formatCode>
                <c:ptCount val="22"/>
                <c:pt idx="0">
                  <c:v>0.24931506849315069</c:v>
                </c:pt>
                <c:pt idx="1">
                  <c:v>0.49863013698630138</c:v>
                </c:pt>
                <c:pt idx="2">
                  <c:v>1.3186813186813187</c:v>
                </c:pt>
                <c:pt idx="3">
                  <c:v>2.3186813186813189</c:v>
                </c:pt>
                <c:pt idx="4">
                  <c:v>3.3186813186813189</c:v>
                </c:pt>
                <c:pt idx="5">
                  <c:v>5.3186813186813184</c:v>
                </c:pt>
                <c:pt idx="6">
                  <c:v>7.3186813186813184</c:v>
                </c:pt>
                <c:pt idx="7">
                  <c:v>10.318681318681319</c:v>
                </c:pt>
                <c:pt idx="8">
                  <c:v>15.318681318681319</c:v>
                </c:pt>
                <c:pt idx="9">
                  <c:v>19.318681318681318</c:v>
                </c:pt>
                <c:pt idx="10">
                  <c:v>23.318681318681318</c:v>
                </c:pt>
                <c:pt idx="11">
                  <c:v>27.318681318681318</c:v>
                </c:pt>
                <c:pt idx="12">
                  <c:v>31.318681318681318</c:v>
                </c:pt>
              </c:numCache>
            </c:numRef>
          </c:xVal>
          <c:yVal>
            <c:numRef>
              <c:f>'Ex5'!$H$9:$H$30</c:f>
              <c:numCache>
                <c:formatCode>0.00000</c:formatCode>
                <c:ptCount val="22"/>
                <c:pt idx="0">
                  <c:v>1.5002820207405954E-3</c:v>
                </c:pt>
                <c:pt idx="1">
                  <c:v>2.3000036219071873E-3</c:v>
                </c:pt>
                <c:pt idx="2">
                  <c:v>8.2272035712298471E-3</c:v>
                </c:pt>
                <c:pt idx="3">
                  <c:v>1.4334968368852466E-2</c:v>
                </c:pt>
                <c:pt idx="4">
                  <c:v>1.9750663158380807E-2</c:v>
                </c:pt>
                <c:pt idx="5">
                  <c:v>2.6073142931933434E-2</c:v>
                </c:pt>
                <c:pt idx="6">
                  <c:v>3.103303918882263E-2</c:v>
                </c:pt>
                <c:pt idx="7">
                  <c:v>3.6548664382743734E-2</c:v>
                </c:pt>
                <c:pt idx="8">
                  <c:v>4.3783174005260272E-2</c:v>
                </c:pt>
                <c:pt idx="9">
                  <c:v>4.2932520443761869E-2</c:v>
                </c:pt>
                <c:pt idx="10">
                  <c:v>4.2957362470663653E-2</c:v>
                </c:pt>
                <c:pt idx="11">
                  <c:v>4.1046523202330945E-2</c:v>
                </c:pt>
                <c:pt idx="12">
                  <c:v>4.0481139065995111E-2</c:v>
                </c:pt>
              </c:numCache>
            </c:numRef>
          </c:yVal>
          <c:smooth val="0"/>
          <c:extLst>
            <c:ext xmlns:c16="http://schemas.microsoft.com/office/drawing/2014/chart" uri="{C3380CC4-5D6E-409C-BE32-E72D297353CC}">
              <c16:uniqueId val="{00000001-04E7-47A4-863A-9C89823BF1C4}"/>
            </c:ext>
          </c:extLst>
        </c:ser>
        <c:dLbls>
          <c:showLegendKey val="0"/>
          <c:showVal val="0"/>
          <c:showCatName val="0"/>
          <c:showSerName val="0"/>
          <c:showPercent val="0"/>
          <c:showBubbleSize val="0"/>
        </c:dLbls>
        <c:axId val="183885824"/>
        <c:axId val="183887744"/>
      </c:scatterChart>
      <c:valAx>
        <c:axId val="183885824"/>
        <c:scaling>
          <c:orientation val="minMax"/>
          <c:max val="30"/>
          <c:min val="0"/>
        </c:scaling>
        <c:delete val="0"/>
        <c:axPos val="b"/>
        <c:title>
          <c:tx>
            <c:rich>
              <a:bodyPr/>
              <a:lstStyle/>
              <a:p>
                <a:pPr>
                  <a:defRPr/>
                </a:pPr>
                <a:r>
                  <a:rPr lang="en-US"/>
                  <a:t>Years to maturity</a:t>
                </a:r>
              </a:p>
            </c:rich>
          </c:tx>
          <c:overlay val="0"/>
        </c:title>
        <c:numFmt formatCode="0" sourceLinked="0"/>
        <c:majorTickMark val="out"/>
        <c:minorTickMark val="none"/>
        <c:tickLblPos val="nextTo"/>
        <c:crossAx val="183887744"/>
        <c:crosses val="autoZero"/>
        <c:crossBetween val="midCat"/>
      </c:valAx>
      <c:valAx>
        <c:axId val="183887744"/>
        <c:scaling>
          <c:orientation val="minMax"/>
        </c:scaling>
        <c:delete val="0"/>
        <c:axPos val="l"/>
        <c:majorGridlines/>
        <c:numFmt formatCode="0.000" sourceLinked="0"/>
        <c:majorTickMark val="out"/>
        <c:minorTickMark val="none"/>
        <c:tickLblPos val="nextTo"/>
        <c:crossAx val="183885824"/>
        <c:crosses val="autoZero"/>
        <c:crossBetween val="midCat"/>
      </c:valAx>
    </c:plotArea>
    <c:legend>
      <c:legendPos val="r"/>
      <c:layout>
        <c:manualLayout>
          <c:xMode val="edge"/>
          <c:yMode val="edge"/>
          <c:x val="0.11766673722757537"/>
          <c:y val="0.13131755138039086"/>
          <c:w val="0.23268574756165844"/>
          <c:h val="8.2939617569028762E-2"/>
        </c:manualLayout>
      </c:layout>
      <c:overlay val="0"/>
    </c:legend>
    <c:plotVisOnly val="1"/>
    <c:dispBlanksAs val="gap"/>
    <c:showDLblsOverMax val="0"/>
  </c:chart>
  <c:printSettings>
    <c:headerFooter/>
    <c:pageMargins b="0.75000000000000211" l="0.70000000000000062" r="0.70000000000000062" t="0.75000000000000211"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Forward rates</a:t>
            </a:r>
          </a:p>
        </c:rich>
      </c:tx>
      <c:overlay val="0"/>
    </c:title>
    <c:autoTitleDeleted val="0"/>
    <c:plotArea>
      <c:layout>
        <c:manualLayout>
          <c:layoutTarget val="inner"/>
          <c:xMode val="edge"/>
          <c:yMode val="edge"/>
          <c:x val="0.11966885389326334"/>
          <c:y val="0.10525082789530145"/>
          <c:w val="0.80781036745406831"/>
          <c:h val="0.74437476413994297"/>
        </c:manualLayout>
      </c:layout>
      <c:scatterChart>
        <c:scatterStyle val="lineMarker"/>
        <c:varyColors val="0"/>
        <c:ser>
          <c:idx val="0"/>
          <c:order val="0"/>
          <c:tx>
            <c:v>Cubic splines</c:v>
          </c:tx>
          <c:spPr>
            <a:ln w="22225">
              <a:solidFill>
                <a:schemeClr val="tx1"/>
              </a:solidFill>
            </a:ln>
          </c:spPr>
          <c:marker>
            <c:symbol val="none"/>
          </c:marker>
          <c:xVal>
            <c:numRef>
              <c:f>'Ex5'!$K$9:$K$128</c:f>
              <c:numCache>
                <c:formatCode>General</c:formatCode>
                <c:ptCount val="120"/>
                <c:pt idx="0">
                  <c:v>0.25</c:v>
                </c:pt>
                <c:pt idx="1">
                  <c:v>0.5</c:v>
                </c:pt>
                <c:pt idx="2">
                  <c:v>0.75</c:v>
                </c:pt>
                <c:pt idx="3">
                  <c:v>1</c:v>
                </c:pt>
                <c:pt idx="4">
                  <c:v>1.25</c:v>
                </c:pt>
                <c:pt idx="5">
                  <c:v>1.5</c:v>
                </c:pt>
                <c:pt idx="6">
                  <c:v>1.75</c:v>
                </c:pt>
                <c:pt idx="7">
                  <c:v>2</c:v>
                </c:pt>
                <c:pt idx="8">
                  <c:v>2.25</c:v>
                </c:pt>
                <c:pt idx="9">
                  <c:v>2.5</c:v>
                </c:pt>
                <c:pt idx="10">
                  <c:v>2.75</c:v>
                </c:pt>
                <c:pt idx="11">
                  <c:v>3</c:v>
                </c:pt>
                <c:pt idx="12">
                  <c:v>3.25</c:v>
                </c:pt>
                <c:pt idx="13">
                  <c:v>3.5</c:v>
                </c:pt>
                <c:pt idx="14">
                  <c:v>3.75</c:v>
                </c:pt>
                <c:pt idx="15">
                  <c:v>4</c:v>
                </c:pt>
                <c:pt idx="16">
                  <c:v>4.25</c:v>
                </c:pt>
                <c:pt idx="17">
                  <c:v>4.5</c:v>
                </c:pt>
                <c:pt idx="18">
                  <c:v>4.75</c:v>
                </c:pt>
                <c:pt idx="19">
                  <c:v>5</c:v>
                </c:pt>
                <c:pt idx="20">
                  <c:v>5.25</c:v>
                </c:pt>
                <c:pt idx="21">
                  <c:v>5.5</c:v>
                </c:pt>
                <c:pt idx="22">
                  <c:v>5.75</c:v>
                </c:pt>
                <c:pt idx="23">
                  <c:v>6</c:v>
                </c:pt>
                <c:pt idx="24">
                  <c:v>6.25</c:v>
                </c:pt>
                <c:pt idx="25">
                  <c:v>6.5</c:v>
                </c:pt>
                <c:pt idx="26">
                  <c:v>6.75</c:v>
                </c:pt>
                <c:pt idx="27">
                  <c:v>7</c:v>
                </c:pt>
                <c:pt idx="28">
                  <c:v>7.25</c:v>
                </c:pt>
                <c:pt idx="29">
                  <c:v>7.5</c:v>
                </c:pt>
                <c:pt idx="30">
                  <c:v>7.75</c:v>
                </c:pt>
                <c:pt idx="31">
                  <c:v>8</c:v>
                </c:pt>
                <c:pt idx="32">
                  <c:v>8.25</c:v>
                </c:pt>
                <c:pt idx="33">
                  <c:v>8.5</c:v>
                </c:pt>
                <c:pt idx="34">
                  <c:v>8.75</c:v>
                </c:pt>
                <c:pt idx="35">
                  <c:v>9</c:v>
                </c:pt>
                <c:pt idx="36">
                  <c:v>9.25</c:v>
                </c:pt>
                <c:pt idx="37">
                  <c:v>9.5</c:v>
                </c:pt>
                <c:pt idx="38">
                  <c:v>9.75</c:v>
                </c:pt>
                <c:pt idx="39">
                  <c:v>10</c:v>
                </c:pt>
                <c:pt idx="40">
                  <c:v>10.25</c:v>
                </c:pt>
                <c:pt idx="41">
                  <c:v>10.5</c:v>
                </c:pt>
                <c:pt idx="42">
                  <c:v>10.75</c:v>
                </c:pt>
                <c:pt idx="43">
                  <c:v>11</c:v>
                </c:pt>
                <c:pt idx="44">
                  <c:v>11.25</c:v>
                </c:pt>
                <c:pt idx="45">
                  <c:v>11.5</c:v>
                </c:pt>
                <c:pt idx="46">
                  <c:v>11.75</c:v>
                </c:pt>
                <c:pt idx="47">
                  <c:v>12</c:v>
                </c:pt>
                <c:pt idx="48">
                  <c:v>12.25</c:v>
                </c:pt>
                <c:pt idx="49">
                  <c:v>12.5</c:v>
                </c:pt>
                <c:pt idx="50">
                  <c:v>12.75</c:v>
                </c:pt>
                <c:pt idx="51">
                  <c:v>13</c:v>
                </c:pt>
                <c:pt idx="52">
                  <c:v>13.25</c:v>
                </c:pt>
                <c:pt idx="53">
                  <c:v>13.5</c:v>
                </c:pt>
                <c:pt idx="54">
                  <c:v>13.75</c:v>
                </c:pt>
                <c:pt idx="55">
                  <c:v>14</c:v>
                </c:pt>
                <c:pt idx="56">
                  <c:v>14.25</c:v>
                </c:pt>
                <c:pt idx="57">
                  <c:v>14.5</c:v>
                </c:pt>
                <c:pt idx="58">
                  <c:v>14.75</c:v>
                </c:pt>
                <c:pt idx="59">
                  <c:v>15</c:v>
                </c:pt>
                <c:pt idx="60">
                  <c:v>15.25</c:v>
                </c:pt>
                <c:pt idx="61">
                  <c:v>15.5</c:v>
                </c:pt>
                <c:pt idx="62">
                  <c:v>15.75</c:v>
                </c:pt>
                <c:pt idx="63">
                  <c:v>16</c:v>
                </c:pt>
                <c:pt idx="64">
                  <c:v>16.25</c:v>
                </c:pt>
                <c:pt idx="65">
                  <c:v>16.5</c:v>
                </c:pt>
                <c:pt idx="66">
                  <c:v>16.75</c:v>
                </c:pt>
                <c:pt idx="67">
                  <c:v>17</c:v>
                </c:pt>
                <c:pt idx="68">
                  <c:v>17.25</c:v>
                </c:pt>
                <c:pt idx="69">
                  <c:v>17.5</c:v>
                </c:pt>
                <c:pt idx="70">
                  <c:v>17.75</c:v>
                </c:pt>
                <c:pt idx="71">
                  <c:v>18</c:v>
                </c:pt>
                <c:pt idx="72">
                  <c:v>18.25</c:v>
                </c:pt>
                <c:pt idx="73">
                  <c:v>18.5</c:v>
                </c:pt>
                <c:pt idx="74">
                  <c:v>18.75</c:v>
                </c:pt>
                <c:pt idx="75">
                  <c:v>19</c:v>
                </c:pt>
                <c:pt idx="76">
                  <c:v>19.25</c:v>
                </c:pt>
                <c:pt idx="77">
                  <c:v>19.5</c:v>
                </c:pt>
                <c:pt idx="78">
                  <c:v>19.75</c:v>
                </c:pt>
                <c:pt idx="79">
                  <c:v>20</c:v>
                </c:pt>
                <c:pt idx="80">
                  <c:v>20.25</c:v>
                </c:pt>
                <c:pt idx="81">
                  <c:v>20.5</c:v>
                </c:pt>
                <c:pt idx="82">
                  <c:v>20.75</c:v>
                </c:pt>
                <c:pt idx="83">
                  <c:v>21</c:v>
                </c:pt>
                <c:pt idx="84">
                  <c:v>21.25</c:v>
                </c:pt>
                <c:pt idx="85">
                  <c:v>21.5</c:v>
                </c:pt>
                <c:pt idx="86">
                  <c:v>21.75</c:v>
                </c:pt>
                <c:pt idx="87">
                  <c:v>22</c:v>
                </c:pt>
                <c:pt idx="88">
                  <c:v>22.25</c:v>
                </c:pt>
                <c:pt idx="89">
                  <c:v>22.5</c:v>
                </c:pt>
                <c:pt idx="90">
                  <c:v>22.75</c:v>
                </c:pt>
                <c:pt idx="91">
                  <c:v>23</c:v>
                </c:pt>
                <c:pt idx="92">
                  <c:v>23.25</c:v>
                </c:pt>
                <c:pt idx="93">
                  <c:v>23.5</c:v>
                </c:pt>
                <c:pt idx="94">
                  <c:v>23.75</c:v>
                </c:pt>
                <c:pt idx="95">
                  <c:v>24</c:v>
                </c:pt>
                <c:pt idx="96">
                  <c:v>24.25</c:v>
                </c:pt>
                <c:pt idx="97">
                  <c:v>24.5</c:v>
                </c:pt>
                <c:pt idx="98">
                  <c:v>24.75</c:v>
                </c:pt>
                <c:pt idx="99">
                  <c:v>25</c:v>
                </c:pt>
                <c:pt idx="100">
                  <c:v>25.25</c:v>
                </c:pt>
                <c:pt idx="101">
                  <c:v>25.5</c:v>
                </c:pt>
                <c:pt idx="102">
                  <c:v>25.75</c:v>
                </c:pt>
                <c:pt idx="103">
                  <c:v>26</c:v>
                </c:pt>
                <c:pt idx="104">
                  <c:v>26.25</c:v>
                </c:pt>
                <c:pt idx="105">
                  <c:v>26.5</c:v>
                </c:pt>
                <c:pt idx="106">
                  <c:v>26.75</c:v>
                </c:pt>
                <c:pt idx="107">
                  <c:v>27</c:v>
                </c:pt>
                <c:pt idx="108">
                  <c:v>27.25</c:v>
                </c:pt>
                <c:pt idx="109">
                  <c:v>27.5</c:v>
                </c:pt>
                <c:pt idx="110">
                  <c:v>27.75</c:v>
                </c:pt>
                <c:pt idx="111">
                  <c:v>28</c:v>
                </c:pt>
                <c:pt idx="112">
                  <c:v>28.25</c:v>
                </c:pt>
                <c:pt idx="113">
                  <c:v>28.5</c:v>
                </c:pt>
                <c:pt idx="114">
                  <c:v>28.75</c:v>
                </c:pt>
                <c:pt idx="115">
                  <c:v>29</c:v>
                </c:pt>
                <c:pt idx="116">
                  <c:v>29.25</c:v>
                </c:pt>
                <c:pt idx="117">
                  <c:v>29.5</c:v>
                </c:pt>
                <c:pt idx="118">
                  <c:v>29.75</c:v>
                </c:pt>
                <c:pt idx="119">
                  <c:v>30</c:v>
                </c:pt>
              </c:numCache>
            </c:numRef>
          </c:xVal>
          <c:yVal>
            <c:numRef>
              <c:f>'Ex5'!$O$9:$O$128</c:f>
              <c:numCache>
                <c:formatCode>0.00000</c:formatCode>
                <c:ptCount val="120"/>
                <c:pt idx="0">
                  <c:v>1.5002900343083199E-3</c:v>
                </c:pt>
                <c:pt idx="1">
                  <c:v>3.1147479462916294E-3</c:v>
                </c:pt>
                <c:pt idx="2">
                  <c:v>7.0442284850846804E-3</c:v>
                </c:pt>
                <c:pt idx="3">
                  <c:v>1.1430406953830907E-2</c:v>
                </c:pt>
                <c:pt idx="4">
                  <c:v>1.5515349203123474E-2</c:v>
                </c:pt>
                <c:pt idx="5">
                  <c:v>1.8438214827577681E-2</c:v>
                </c:pt>
                <c:pt idx="6">
                  <c:v>2.0631212422598022E-2</c:v>
                </c:pt>
                <c:pt idx="7">
                  <c:v>2.2795546539139622E-2</c:v>
                </c:pt>
                <c:pt idx="8">
                  <c:v>2.5222612509213427E-2</c:v>
                </c:pt>
                <c:pt idx="9">
                  <c:v>2.8123538099045664E-2</c:v>
                </c:pt>
                <c:pt idx="10">
                  <c:v>3.097074488256224E-2</c:v>
                </c:pt>
                <c:pt idx="11">
                  <c:v>3.32634237279823E-2</c:v>
                </c:pt>
                <c:pt idx="12">
                  <c:v>3.4809636788170728E-2</c:v>
                </c:pt>
                <c:pt idx="13">
                  <c:v>3.5481895919237338E-2</c:v>
                </c:pt>
                <c:pt idx="14">
                  <c:v>3.5720757837323536E-2</c:v>
                </c:pt>
                <c:pt idx="15">
                  <c:v>3.5877260124181909E-2</c:v>
                </c:pt>
                <c:pt idx="16">
                  <c:v>3.6037005396063471E-2</c:v>
                </c:pt>
                <c:pt idx="17">
                  <c:v>3.6282484105031099E-2</c:v>
                </c:pt>
                <c:pt idx="18">
                  <c:v>3.6696158419799563E-2</c:v>
                </c:pt>
                <c:pt idx="19">
                  <c:v>3.7360523542839363E-2</c:v>
                </c:pt>
                <c:pt idx="20">
                  <c:v>3.8358187716347025E-2</c:v>
                </c:pt>
                <c:pt idx="21">
                  <c:v>3.9735504428870527E-2</c:v>
                </c:pt>
                <c:pt idx="22">
                  <c:v>4.1208080651246703E-2</c:v>
                </c:pt>
                <c:pt idx="23">
                  <c:v>4.2581902990681986E-2</c:v>
                </c:pt>
                <c:pt idx="24">
                  <c:v>4.3833457645697571E-2</c:v>
                </c:pt>
                <c:pt idx="25">
                  <c:v>4.4941124796012311E-2</c:v>
                </c:pt>
                <c:pt idx="26">
                  <c:v>4.5883296638066895E-2</c:v>
                </c:pt>
                <c:pt idx="27">
                  <c:v>4.6638389060075447E-2</c:v>
                </c:pt>
                <c:pt idx="28">
                  <c:v>4.7184854562118961E-2</c:v>
                </c:pt>
                <c:pt idx="29">
                  <c:v>4.7517709326879931E-2</c:v>
                </c:pt>
                <c:pt idx="30">
                  <c:v>4.7779113395964856E-2</c:v>
                </c:pt>
                <c:pt idx="31">
                  <c:v>4.8062339975779356E-2</c:v>
                </c:pt>
                <c:pt idx="32">
                  <c:v>4.8381288126791766E-2</c:v>
                </c:pt>
                <c:pt idx="33">
                  <c:v>4.8748990237540646E-2</c:v>
                </c:pt>
                <c:pt idx="34">
                  <c:v>4.9178482807016088E-2</c:v>
                </c:pt>
                <c:pt idx="35">
                  <c:v>4.9682809912525272E-2</c:v>
                </c:pt>
                <c:pt idx="36">
                  <c:v>5.0275027141427842E-2</c:v>
                </c:pt>
                <c:pt idx="37">
                  <c:v>5.0968205987522719E-2</c:v>
                </c:pt>
                <c:pt idx="38">
                  <c:v>5.1775438713423494E-2</c:v>
                </c:pt>
                <c:pt idx="39">
                  <c:v>5.270984368060061E-2</c:v>
                </c:pt>
                <c:pt idx="40">
                  <c:v>5.3784571148307148E-2</c:v>
                </c:pt>
                <c:pt idx="41">
                  <c:v>5.4997182597513294E-2</c:v>
                </c:pt>
                <c:pt idx="42">
                  <c:v>5.6207982400717782E-2</c:v>
                </c:pt>
                <c:pt idx="43">
                  <c:v>5.7329098574120163E-2</c:v>
                </c:pt>
                <c:pt idx="44">
                  <c:v>5.8349304317822703E-2</c:v>
                </c:pt>
                <c:pt idx="45">
                  <c:v>5.9258208948240743E-2</c:v>
                </c:pt>
                <c:pt idx="46">
                  <c:v>6.0045432730526649E-2</c:v>
                </c:pt>
                <c:pt idx="47">
                  <c:v>6.0700611250382952E-2</c:v>
                </c:pt>
                <c:pt idx="48">
                  <c:v>6.1213400067370749E-2</c:v>
                </c:pt>
                <c:pt idx="49">
                  <c:v>6.1573479646102047E-2</c:v>
                </c:pt>
                <c:pt idx="50">
                  <c:v>6.1770560564733845E-2</c:v>
                </c:pt>
                <c:pt idx="51">
                  <c:v>6.1794388996732508E-2</c:v>
                </c:pt>
                <c:pt idx="52">
                  <c:v>6.1634752464398979E-2</c:v>
                </c:pt>
                <c:pt idx="53">
                  <c:v>6.1281485861006679E-2</c:v>
                </c:pt>
                <c:pt idx="54">
                  <c:v>6.0724477738659743E-2</c:v>
                </c:pt>
                <c:pt idx="55">
                  <c:v>5.9953676858830018E-2</c:v>
                </c:pt>
                <c:pt idx="56">
                  <c:v>5.8959099003024207E-2</c:v>
                </c:pt>
                <c:pt idx="57">
                  <c:v>5.7730834039046997E-2</c:v>
                </c:pt>
                <c:pt idx="58">
                  <c:v>5.625905324116065E-2</c:v>
                </c:pt>
                <c:pt idx="59">
                  <c:v>5.4534016858676537E-2</c:v>
                </c:pt>
                <c:pt idx="60">
                  <c:v>5.2546081931185373E-2</c:v>
                </c:pt>
                <c:pt idx="61">
                  <c:v>5.0311197276670772E-2</c:v>
                </c:pt>
                <c:pt idx="62">
                  <c:v>4.8066206998377048E-2</c:v>
                </c:pt>
                <c:pt idx="63">
                  <c:v>4.5954758598917511E-2</c:v>
                </c:pt>
                <c:pt idx="64">
                  <c:v>4.3993228488369951E-2</c:v>
                </c:pt>
                <c:pt idx="65">
                  <c:v>4.2196632359075004E-2</c:v>
                </c:pt>
                <c:pt idx="66">
                  <c:v>4.0579998494518765E-2</c:v>
                </c:pt>
                <c:pt idx="67">
                  <c:v>3.9158378816988026E-2</c:v>
                </c:pt>
                <c:pt idx="68">
                  <c:v>3.7946860598271126E-2</c:v>
                </c:pt>
                <c:pt idx="69">
                  <c:v>3.6960578844897896E-2</c:v>
                </c:pt>
                <c:pt idx="70">
                  <c:v>3.6214729367576748E-2</c:v>
                </c:pt>
                <c:pt idx="71">
                  <c:v>3.5724582547820738E-2</c:v>
                </c:pt>
                <c:pt idx="72">
                  <c:v>3.5505497813846265E-2</c:v>
                </c:pt>
                <c:pt idx="73">
                  <c:v>3.5572938839255386E-2</c:v>
                </c:pt>
                <c:pt idx="74">
                  <c:v>3.5942489479829032E-2</c:v>
                </c:pt>
                <c:pt idx="75">
                  <c:v>3.6629870463284142E-2</c:v>
                </c:pt>
                <c:pt idx="76">
                  <c:v>3.7650956848149786E-2</c:v>
                </c:pt>
                <c:pt idx="77">
                  <c:v>3.8990137957657378E-2</c:v>
                </c:pt>
                <c:pt idx="78">
                  <c:v>4.0358369588699983E-2</c:v>
                </c:pt>
                <c:pt idx="79">
                  <c:v>4.1584753985684397E-2</c:v>
                </c:pt>
                <c:pt idx="80">
                  <c:v>4.2657267192377279E-2</c:v>
                </c:pt>
                <c:pt idx="81">
                  <c:v>4.3565608378515641E-2</c:v>
                </c:pt>
                <c:pt idx="82">
                  <c:v>4.4299507870019905E-2</c:v>
                </c:pt>
                <c:pt idx="83">
                  <c:v>4.4848733915760608E-2</c:v>
                </c:pt>
                <c:pt idx="84">
                  <c:v>4.5203099717225914E-2</c:v>
                </c:pt>
                <c:pt idx="85">
                  <c:v>4.5352470715041893E-2</c:v>
                </c:pt>
                <c:pt idx="86">
                  <c:v>4.5286772127978825E-2</c:v>
                </c:pt>
                <c:pt idx="87">
                  <c:v>4.4995996738663724E-2</c:v>
                </c:pt>
                <c:pt idx="88">
                  <c:v>4.4470212920411978E-2</c:v>
                </c:pt>
                <c:pt idx="89">
                  <c:v>4.3699572899135841E-2</c:v>
                </c:pt>
                <c:pt idx="90">
                  <c:v>4.2674321244060565E-2</c:v>
                </c:pt>
                <c:pt idx="91">
                  <c:v>4.1384803581182794E-2</c:v>
                </c:pt>
                <c:pt idx="92">
                  <c:v>3.9821475522557215E-2</c:v>
                </c:pt>
                <c:pt idx="93">
                  <c:v>3.8001925491452759E-2</c:v>
                </c:pt>
                <c:pt idx="94">
                  <c:v>3.6175974874848915E-2</c:v>
                </c:pt>
                <c:pt idx="95">
                  <c:v>3.4489160771132177E-2</c:v>
                </c:pt>
                <c:pt idx="96">
                  <c:v>3.2950628425597817E-2</c:v>
                </c:pt>
                <c:pt idx="97">
                  <c:v>3.1568091764876627E-2</c:v>
                </c:pt>
                <c:pt idx="98">
                  <c:v>3.0349290680529606E-2</c:v>
                </c:pt>
                <c:pt idx="99">
                  <c:v>2.9301995990531182E-2</c:v>
                </c:pt>
                <c:pt idx="100">
                  <c:v>2.8434014592753076E-2</c:v>
                </c:pt>
                <c:pt idx="101">
                  <c:v>2.7753194813407323E-2</c:v>
                </c:pt>
                <c:pt idx="102">
                  <c:v>2.7267431954113963E-2</c:v>
                </c:pt>
                <c:pt idx="103">
                  <c:v>2.6984674041924617E-2</c:v>
                </c:pt>
                <c:pt idx="104">
                  <c:v>2.6912927785901264E-2</c:v>
                </c:pt>
                <c:pt idx="105">
                  <c:v>2.706026474438028E-2</c:v>
                </c:pt>
                <c:pt idx="106">
                  <c:v>2.7434827708915144E-2</c:v>
                </c:pt>
                <c:pt idx="107">
                  <c:v>2.804483730696683E-2</c:v>
                </c:pt>
                <c:pt idx="108">
                  <c:v>2.8898598830960243E-2</c:v>
                </c:pt>
                <c:pt idx="109">
                  <c:v>2.998501329847203E-2</c:v>
                </c:pt>
                <c:pt idx="110">
                  <c:v>3.1125582637533178E-2</c:v>
                </c:pt>
                <c:pt idx="111">
                  <c:v>3.2217435022142471E-2</c:v>
                </c:pt>
                <c:pt idx="112">
                  <c:v>3.3256304788267688E-2</c:v>
                </c:pt>
                <c:pt idx="113">
                  <c:v>3.4238976917186914E-2</c:v>
                </c:pt>
                <c:pt idx="114">
                  <c:v>3.5162237917440109E-2</c:v>
                </c:pt>
                <c:pt idx="115">
                  <c:v>3.6022876625660505E-2</c:v>
                </c:pt>
                <c:pt idx="116">
                  <c:v>3.6817685033010861E-2</c:v>
                </c:pt>
                <c:pt idx="117">
                  <c:v>3.7543459139577795E-2</c:v>
                </c:pt>
                <c:pt idx="118">
                  <c:v>3.8196999834949175E-2</c:v>
                </c:pt>
                <c:pt idx="119">
                  <c:v>3.8775113805480821E-2</c:v>
                </c:pt>
              </c:numCache>
            </c:numRef>
          </c:yVal>
          <c:smooth val="0"/>
          <c:extLst>
            <c:ext xmlns:c16="http://schemas.microsoft.com/office/drawing/2014/chart" uri="{C3380CC4-5D6E-409C-BE32-E72D297353CC}">
              <c16:uniqueId val="{00000000-B9E8-4C4F-BD01-BDBB01AB25EA}"/>
            </c:ext>
          </c:extLst>
        </c:ser>
        <c:ser>
          <c:idx val="1"/>
          <c:order val="1"/>
          <c:tx>
            <c:v>Bootstrapping</c:v>
          </c:tx>
          <c:spPr>
            <a:ln w="22225">
              <a:solidFill>
                <a:srgbClr val="FFC000"/>
              </a:solidFill>
            </a:ln>
          </c:spPr>
          <c:marker>
            <c:symbol val="none"/>
          </c:marker>
          <c:xVal>
            <c:numRef>
              <c:f>'Ex5'!$K$9:$K$128</c:f>
              <c:numCache>
                <c:formatCode>General</c:formatCode>
                <c:ptCount val="120"/>
                <c:pt idx="0">
                  <c:v>0.25</c:v>
                </c:pt>
                <c:pt idx="1">
                  <c:v>0.5</c:v>
                </c:pt>
                <c:pt idx="2">
                  <c:v>0.75</c:v>
                </c:pt>
                <c:pt idx="3">
                  <c:v>1</c:v>
                </c:pt>
                <c:pt idx="4">
                  <c:v>1.25</c:v>
                </c:pt>
                <c:pt idx="5">
                  <c:v>1.5</c:v>
                </c:pt>
                <c:pt idx="6">
                  <c:v>1.75</c:v>
                </c:pt>
                <c:pt idx="7">
                  <c:v>2</c:v>
                </c:pt>
                <c:pt idx="8">
                  <c:v>2.25</c:v>
                </c:pt>
                <c:pt idx="9">
                  <c:v>2.5</c:v>
                </c:pt>
                <c:pt idx="10">
                  <c:v>2.75</c:v>
                </c:pt>
                <c:pt idx="11">
                  <c:v>3</c:v>
                </c:pt>
                <c:pt idx="12">
                  <c:v>3.25</c:v>
                </c:pt>
                <c:pt idx="13">
                  <c:v>3.5</c:v>
                </c:pt>
                <c:pt idx="14">
                  <c:v>3.75</c:v>
                </c:pt>
                <c:pt idx="15">
                  <c:v>4</c:v>
                </c:pt>
                <c:pt idx="16">
                  <c:v>4.25</c:v>
                </c:pt>
                <c:pt idx="17">
                  <c:v>4.5</c:v>
                </c:pt>
                <c:pt idx="18">
                  <c:v>4.75</c:v>
                </c:pt>
                <c:pt idx="19">
                  <c:v>5</c:v>
                </c:pt>
                <c:pt idx="20">
                  <c:v>5.25</c:v>
                </c:pt>
                <c:pt idx="21">
                  <c:v>5.5</c:v>
                </c:pt>
                <c:pt idx="22">
                  <c:v>5.75</c:v>
                </c:pt>
                <c:pt idx="23">
                  <c:v>6</c:v>
                </c:pt>
                <c:pt idx="24">
                  <c:v>6.25</c:v>
                </c:pt>
                <c:pt idx="25">
                  <c:v>6.5</c:v>
                </c:pt>
                <c:pt idx="26">
                  <c:v>6.75</c:v>
                </c:pt>
                <c:pt idx="27">
                  <c:v>7</c:v>
                </c:pt>
                <c:pt idx="28">
                  <c:v>7.25</c:v>
                </c:pt>
                <c:pt idx="29">
                  <c:v>7.5</c:v>
                </c:pt>
                <c:pt idx="30">
                  <c:v>7.75</c:v>
                </c:pt>
                <c:pt idx="31">
                  <c:v>8</c:v>
                </c:pt>
                <c:pt idx="32">
                  <c:v>8.25</c:v>
                </c:pt>
                <c:pt idx="33">
                  <c:v>8.5</c:v>
                </c:pt>
                <c:pt idx="34">
                  <c:v>8.75</c:v>
                </c:pt>
                <c:pt idx="35">
                  <c:v>9</c:v>
                </c:pt>
                <c:pt idx="36">
                  <c:v>9.25</c:v>
                </c:pt>
                <c:pt idx="37">
                  <c:v>9.5</c:v>
                </c:pt>
                <c:pt idx="38">
                  <c:v>9.75</c:v>
                </c:pt>
                <c:pt idx="39">
                  <c:v>10</c:v>
                </c:pt>
                <c:pt idx="40">
                  <c:v>10.25</c:v>
                </c:pt>
                <c:pt idx="41">
                  <c:v>10.5</c:v>
                </c:pt>
                <c:pt idx="42">
                  <c:v>10.75</c:v>
                </c:pt>
                <c:pt idx="43">
                  <c:v>11</c:v>
                </c:pt>
                <c:pt idx="44">
                  <c:v>11.25</c:v>
                </c:pt>
                <c:pt idx="45">
                  <c:v>11.5</c:v>
                </c:pt>
                <c:pt idx="46">
                  <c:v>11.75</c:v>
                </c:pt>
                <c:pt idx="47">
                  <c:v>12</c:v>
                </c:pt>
                <c:pt idx="48">
                  <c:v>12.25</c:v>
                </c:pt>
                <c:pt idx="49">
                  <c:v>12.5</c:v>
                </c:pt>
                <c:pt idx="50">
                  <c:v>12.75</c:v>
                </c:pt>
                <c:pt idx="51">
                  <c:v>13</c:v>
                </c:pt>
                <c:pt idx="52">
                  <c:v>13.25</c:v>
                </c:pt>
                <c:pt idx="53">
                  <c:v>13.5</c:v>
                </c:pt>
                <c:pt idx="54">
                  <c:v>13.75</c:v>
                </c:pt>
                <c:pt idx="55">
                  <c:v>14</c:v>
                </c:pt>
                <c:pt idx="56">
                  <c:v>14.25</c:v>
                </c:pt>
                <c:pt idx="57">
                  <c:v>14.5</c:v>
                </c:pt>
                <c:pt idx="58">
                  <c:v>14.75</c:v>
                </c:pt>
                <c:pt idx="59">
                  <c:v>15</c:v>
                </c:pt>
                <c:pt idx="60">
                  <c:v>15.25</c:v>
                </c:pt>
                <c:pt idx="61">
                  <c:v>15.5</c:v>
                </c:pt>
                <c:pt idx="62">
                  <c:v>15.75</c:v>
                </c:pt>
                <c:pt idx="63">
                  <c:v>16</c:v>
                </c:pt>
                <c:pt idx="64">
                  <c:v>16.25</c:v>
                </c:pt>
                <c:pt idx="65">
                  <c:v>16.5</c:v>
                </c:pt>
                <c:pt idx="66">
                  <c:v>16.75</c:v>
                </c:pt>
                <c:pt idx="67">
                  <c:v>17</c:v>
                </c:pt>
                <c:pt idx="68">
                  <c:v>17.25</c:v>
                </c:pt>
                <c:pt idx="69">
                  <c:v>17.5</c:v>
                </c:pt>
                <c:pt idx="70">
                  <c:v>17.75</c:v>
                </c:pt>
                <c:pt idx="71">
                  <c:v>18</c:v>
                </c:pt>
                <c:pt idx="72">
                  <c:v>18.25</c:v>
                </c:pt>
                <c:pt idx="73">
                  <c:v>18.5</c:v>
                </c:pt>
                <c:pt idx="74">
                  <c:v>18.75</c:v>
                </c:pt>
                <c:pt idx="75">
                  <c:v>19</c:v>
                </c:pt>
                <c:pt idx="76">
                  <c:v>19.25</c:v>
                </c:pt>
                <c:pt idx="77">
                  <c:v>19.5</c:v>
                </c:pt>
                <c:pt idx="78">
                  <c:v>19.75</c:v>
                </c:pt>
                <c:pt idx="79">
                  <c:v>20</c:v>
                </c:pt>
                <c:pt idx="80">
                  <c:v>20.25</c:v>
                </c:pt>
                <c:pt idx="81">
                  <c:v>20.5</c:v>
                </c:pt>
                <c:pt idx="82">
                  <c:v>20.75</c:v>
                </c:pt>
                <c:pt idx="83">
                  <c:v>21</c:v>
                </c:pt>
                <c:pt idx="84">
                  <c:v>21.25</c:v>
                </c:pt>
                <c:pt idx="85">
                  <c:v>21.5</c:v>
                </c:pt>
                <c:pt idx="86">
                  <c:v>21.75</c:v>
                </c:pt>
                <c:pt idx="87">
                  <c:v>22</c:v>
                </c:pt>
                <c:pt idx="88">
                  <c:v>22.25</c:v>
                </c:pt>
                <c:pt idx="89">
                  <c:v>22.5</c:v>
                </c:pt>
                <c:pt idx="90">
                  <c:v>22.75</c:v>
                </c:pt>
                <c:pt idx="91">
                  <c:v>23</c:v>
                </c:pt>
                <c:pt idx="92">
                  <c:v>23.25</c:v>
                </c:pt>
                <c:pt idx="93">
                  <c:v>23.5</c:v>
                </c:pt>
                <c:pt idx="94">
                  <c:v>23.75</c:v>
                </c:pt>
                <c:pt idx="95">
                  <c:v>24</c:v>
                </c:pt>
                <c:pt idx="96">
                  <c:v>24.25</c:v>
                </c:pt>
                <c:pt idx="97">
                  <c:v>24.5</c:v>
                </c:pt>
                <c:pt idx="98">
                  <c:v>24.75</c:v>
                </c:pt>
                <c:pt idx="99">
                  <c:v>25</c:v>
                </c:pt>
                <c:pt idx="100">
                  <c:v>25.25</c:v>
                </c:pt>
                <c:pt idx="101">
                  <c:v>25.5</c:v>
                </c:pt>
                <c:pt idx="102">
                  <c:v>25.75</c:v>
                </c:pt>
                <c:pt idx="103">
                  <c:v>26</c:v>
                </c:pt>
                <c:pt idx="104">
                  <c:v>26.25</c:v>
                </c:pt>
                <c:pt idx="105">
                  <c:v>26.5</c:v>
                </c:pt>
                <c:pt idx="106">
                  <c:v>26.75</c:v>
                </c:pt>
                <c:pt idx="107">
                  <c:v>27</c:v>
                </c:pt>
                <c:pt idx="108">
                  <c:v>27.25</c:v>
                </c:pt>
                <c:pt idx="109">
                  <c:v>27.5</c:v>
                </c:pt>
                <c:pt idx="110">
                  <c:v>27.75</c:v>
                </c:pt>
                <c:pt idx="111">
                  <c:v>28</c:v>
                </c:pt>
                <c:pt idx="112">
                  <c:v>28.25</c:v>
                </c:pt>
                <c:pt idx="113">
                  <c:v>28.5</c:v>
                </c:pt>
                <c:pt idx="114">
                  <c:v>28.75</c:v>
                </c:pt>
                <c:pt idx="115">
                  <c:v>29</c:v>
                </c:pt>
                <c:pt idx="116">
                  <c:v>29.25</c:v>
                </c:pt>
                <c:pt idx="117">
                  <c:v>29.5</c:v>
                </c:pt>
                <c:pt idx="118">
                  <c:v>29.75</c:v>
                </c:pt>
                <c:pt idx="119">
                  <c:v>30</c:v>
                </c:pt>
              </c:numCache>
            </c:numRef>
          </c:xVal>
          <c:yVal>
            <c:numRef>
              <c:f>'Ex5'!$N$9:$N$128</c:f>
              <c:numCache>
                <c:formatCode>0.00000</c:formatCode>
                <c:ptCount val="120"/>
                <c:pt idx="0">
                  <c:v>1.5024790581064376E-3</c:v>
                </c:pt>
                <c:pt idx="1">
                  <c:v>3.1176562145880382E-3</c:v>
                </c:pt>
                <c:pt idx="2">
                  <c:v>7.7356793671650159E-3</c:v>
                </c:pt>
                <c:pt idx="3">
                  <c:v>1.1354487701290772E-2</c:v>
                </c:pt>
                <c:pt idx="4">
                  <c:v>1.4974919356377736E-2</c:v>
                </c:pt>
                <c:pt idx="5">
                  <c:v>1.7373242322277438E-2</c:v>
                </c:pt>
                <c:pt idx="6">
                  <c:v>2.0047642249588105E-2</c:v>
                </c:pt>
                <c:pt idx="7">
                  <c:v>2.3109640955623068E-2</c:v>
                </c:pt>
                <c:pt idx="8">
                  <c:v>2.6172792082594043E-2</c:v>
                </c:pt>
                <c:pt idx="9">
                  <c:v>2.7974006773094917E-2</c:v>
                </c:pt>
                <c:pt idx="10">
                  <c:v>3.0260224015888681E-2</c:v>
                </c:pt>
                <c:pt idx="11">
                  <c:v>3.2978070077825716E-2</c:v>
                </c:pt>
                <c:pt idx="12">
                  <c:v>3.5696817772619127E-2</c:v>
                </c:pt>
                <c:pt idx="13">
                  <c:v>3.2651121657784721E-2</c:v>
                </c:pt>
                <c:pt idx="14">
                  <c:v>3.221102077109661E-2</c:v>
                </c:pt>
                <c:pt idx="15">
                  <c:v>3.3796276174616224E-2</c:v>
                </c:pt>
                <c:pt idx="16">
                  <c:v>3.53818386722482E-2</c:v>
                </c:pt>
                <c:pt idx="17">
                  <c:v>3.6967708023242896E-2</c:v>
                </c:pt>
                <c:pt idx="18">
                  <c:v>3.8553883987132664E-2</c:v>
                </c:pt>
                <c:pt idx="19">
                  <c:v>4.0140366323667909E-2</c:v>
                </c:pt>
                <c:pt idx="20">
                  <c:v>4.1727154792801979E-2</c:v>
                </c:pt>
                <c:pt idx="21">
                  <c:v>4.0575970538287986E-2</c:v>
                </c:pt>
                <c:pt idx="22">
                  <c:v>4.0830596696957766E-2</c:v>
                </c:pt>
                <c:pt idx="23">
                  <c:v>4.2074931952298833E-2</c:v>
                </c:pt>
                <c:pt idx="24">
                  <c:v>4.3319455429903453E-2</c:v>
                </c:pt>
                <c:pt idx="25">
                  <c:v>4.4564167014303546E-2</c:v>
                </c:pt>
                <c:pt idx="26">
                  <c:v>4.580906659009365E-2</c:v>
                </c:pt>
                <c:pt idx="27">
                  <c:v>4.7054154041982432E-2</c:v>
                </c:pt>
                <c:pt idx="28">
                  <c:v>4.8299429254706094E-2</c:v>
                </c:pt>
                <c:pt idx="29">
                  <c:v>4.6027822732633172E-2</c:v>
                </c:pt>
                <c:pt idx="30">
                  <c:v>4.5663566115027976E-2</c:v>
                </c:pt>
                <c:pt idx="31">
                  <c:v>4.6586060264939277E-2</c:v>
                </c:pt>
                <c:pt idx="32">
                  <c:v>4.7508657637436613E-2</c:v>
                </c:pt>
                <c:pt idx="33">
                  <c:v>4.8431358185724083E-2</c:v>
                </c:pt>
                <c:pt idx="34">
                  <c:v>4.9354161862919188E-2</c:v>
                </c:pt>
                <c:pt idx="35">
                  <c:v>5.0277068622284649E-2</c:v>
                </c:pt>
                <c:pt idx="36">
                  <c:v>5.1200078417001471E-2</c:v>
                </c:pt>
                <c:pt idx="37">
                  <c:v>5.2123191200358132E-2</c:v>
                </c:pt>
                <c:pt idx="38">
                  <c:v>5.3046406925649325E-2</c:v>
                </c:pt>
                <c:pt idx="39">
                  <c:v>5.3969725546127112E-2</c:v>
                </c:pt>
                <c:pt idx="40">
                  <c:v>5.4893147015200761E-2</c:v>
                </c:pt>
                <c:pt idx="41">
                  <c:v>5.2808608995985828E-2</c:v>
                </c:pt>
                <c:pt idx="42">
                  <c:v>5.2423360444125322E-2</c:v>
                </c:pt>
                <c:pt idx="43">
                  <c:v>5.3149573221282331E-2</c:v>
                </c:pt>
                <c:pt idx="44">
                  <c:v>5.3875849723710623E-2</c:v>
                </c:pt>
                <c:pt idx="45">
                  <c:v>5.4602189928703027E-2</c:v>
                </c:pt>
                <c:pt idx="46">
                  <c:v>5.5328593813502192E-2</c:v>
                </c:pt>
                <c:pt idx="47">
                  <c:v>5.6055061355465341E-2</c:v>
                </c:pt>
                <c:pt idx="48">
                  <c:v>5.6781592531936376E-2</c:v>
                </c:pt>
                <c:pt idx="49">
                  <c:v>5.7508187320156168E-2</c:v>
                </c:pt>
                <c:pt idx="50">
                  <c:v>5.8234845697541449E-2</c:v>
                </c:pt>
                <c:pt idx="51">
                  <c:v>5.8961567641446333E-2</c:v>
                </c:pt>
                <c:pt idx="52">
                  <c:v>5.9688353129151661E-2</c:v>
                </c:pt>
                <c:pt idx="53">
                  <c:v>6.0415202138107027E-2</c:v>
                </c:pt>
                <c:pt idx="54">
                  <c:v>6.1142114645689638E-2</c:v>
                </c:pt>
                <c:pt idx="55">
                  <c:v>6.1869090629214085E-2</c:v>
                </c:pt>
                <c:pt idx="56">
                  <c:v>6.2596130066156164E-2</c:v>
                </c:pt>
                <c:pt idx="57">
                  <c:v>6.3323232933930385E-2</c:v>
                </c:pt>
                <c:pt idx="58">
                  <c:v>6.4050399209875764E-2</c:v>
                </c:pt>
                <c:pt idx="59">
                  <c:v>6.4777628871503179E-2</c:v>
                </c:pt>
                <c:pt idx="60">
                  <c:v>6.5504921896254675E-2</c:v>
                </c:pt>
                <c:pt idx="61">
                  <c:v>4.7457770868117866E-2</c:v>
                </c:pt>
                <c:pt idx="62">
                  <c:v>4.0397865435911839E-2</c:v>
                </c:pt>
                <c:pt idx="63">
                  <c:v>4.0291620875274603E-2</c:v>
                </c:pt>
                <c:pt idx="64">
                  <c:v>4.0185377700045599E-2</c:v>
                </c:pt>
                <c:pt idx="65">
                  <c:v>4.0079135910285668E-2</c:v>
                </c:pt>
                <c:pt idx="66">
                  <c:v>3.9972895506059647E-2</c:v>
                </c:pt>
                <c:pt idx="67">
                  <c:v>3.98666564874679E-2</c:v>
                </c:pt>
                <c:pt idx="68">
                  <c:v>3.976041885449666E-2</c:v>
                </c:pt>
                <c:pt idx="69">
                  <c:v>3.9654182607300026E-2</c:v>
                </c:pt>
                <c:pt idx="70">
                  <c:v>3.9547947745931289E-2</c:v>
                </c:pt>
                <c:pt idx="71">
                  <c:v>3.9441714270457506E-2</c:v>
                </c:pt>
                <c:pt idx="72">
                  <c:v>3.9335482180973713E-2</c:v>
                </c:pt>
                <c:pt idx="73">
                  <c:v>3.9229251477472804E-2</c:v>
                </c:pt>
                <c:pt idx="74">
                  <c:v>3.9123022160112875E-2</c:v>
                </c:pt>
                <c:pt idx="75">
                  <c:v>3.9016794228934781E-2</c:v>
                </c:pt>
                <c:pt idx="76">
                  <c:v>3.8910567684005137E-2</c:v>
                </c:pt>
                <c:pt idx="77">
                  <c:v>4.1895959647306302E-2</c:v>
                </c:pt>
                <c:pt idx="78">
                  <c:v>4.3056307668118077E-2</c:v>
                </c:pt>
                <c:pt idx="79">
                  <c:v>4.3059413014664649E-2</c:v>
                </c:pt>
                <c:pt idx="80">
                  <c:v>4.3062518362463109E-2</c:v>
                </c:pt>
                <c:pt idx="81">
                  <c:v>4.3065623711405987E-2</c:v>
                </c:pt>
                <c:pt idx="82">
                  <c:v>4.3068729061525257E-2</c:v>
                </c:pt>
                <c:pt idx="83">
                  <c:v>4.3071834412837351E-2</c:v>
                </c:pt>
                <c:pt idx="84">
                  <c:v>4.3074939765303188E-2</c:v>
                </c:pt>
                <c:pt idx="85">
                  <c:v>4.3078045118934316E-2</c:v>
                </c:pt>
                <c:pt idx="86">
                  <c:v>4.3081150473814223E-2</c:v>
                </c:pt>
                <c:pt idx="87">
                  <c:v>4.3084255829833218E-2</c:v>
                </c:pt>
                <c:pt idx="88">
                  <c:v>4.3087361187040596E-2</c:v>
                </c:pt>
                <c:pt idx="89">
                  <c:v>4.3090466545419481E-2</c:v>
                </c:pt>
                <c:pt idx="90">
                  <c:v>4.3093571904939232E-2</c:v>
                </c:pt>
                <c:pt idx="91">
                  <c:v>4.3096677265715755E-2</c:v>
                </c:pt>
                <c:pt idx="92">
                  <c:v>4.3099782627647354E-2</c:v>
                </c:pt>
                <c:pt idx="93">
                  <c:v>3.4870840069874731E-2</c:v>
                </c:pt>
                <c:pt idx="94">
                  <c:v>3.1556253922305544E-2</c:v>
                </c:pt>
                <c:pt idx="95">
                  <c:v>3.1318062320218498E-2</c:v>
                </c:pt>
                <c:pt idx="96">
                  <c:v>3.1079877739491835E-2</c:v>
                </c:pt>
                <c:pt idx="97">
                  <c:v>3.0841700180762377E-2</c:v>
                </c:pt>
                <c:pt idx="98">
                  <c:v>3.0603529645012451E-2</c:v>
                </c:pt>
                <c:pt idx="99">
                  <c:v>3.0365366133015659E-2</c:v>
                </c:pt>
                <c:pt idx="100">
                  <c:v>3.0127209645564701E-2</c:v>
                </c:pt>
                <c:pt idx="101">
                  <c:v>2.9889060183517557E-2</c:v>
                </c:pt>
                <c:pt idx="102">
                  <c:v>2.9650917747674033E-2</c:v>
                </c:pt>
                <c:pt idx="103">
                  <c:v>2.9412782338841037E-2</c:v>
                </c:pt>
                <c:pt idx="104">
                  <c:v>2.9174653957926733E-2</c:v>
                </c:pt>
                <c:pt idx="105">
                  <c:v>2.8936532605554621E-2</c:v>
                </c:pt>
                <c:pt idx="106">
                  <c:v>2.8698418282724791E-2</c:v>
                </c:pt>
                <c:pt idx="107">
                  <c:v>2.8460310990200632E-2</c:v>
                </c:pt>
                <c:pt idx="108">
                  <c:v>2.8222210728785058E-2</c:v>
                </c:pt>
                <c:pt idx="109">
                  <c:v>3.4661127358522226E-2</c:v>
                </c:pt>
                <c:pt idx="110">
                  <c:v>3.7102274687675241E-2</c:v>
                </c:pt>
                <c:pt idx="111">
                  <c:v>3.7031669579999704E-2</c:v>
                </c:pt>
                <c:pt idx="112">
                  <c:v>3.6961065085386657E-2</c:v>
                </c:pt>
                <c:pt idx="113">
                  <c:v>3.689046120374373E-2</c:v>
                </c:pt>
                <c:pt idx="114">
                  <c:v>3.6819857935135758E-2</c:v>
                </c:pt>
                <c:pt idx="115">
                  <c:v>3.6749255279588056E-2</c:v>
                </c:pt>
                <c:pt idx="116">
                  <c:v>3.6678653237069536E-2</c:v>
                </c:pt>
                <c:pt idx="117">
                  <c:v>3.6608051807727637E-2</c:v>
                </c:pt>
                <c:pt idx="118">
                  <c:v>3.6537450991380283E-2</c:v>
                </c:pt>
                <c:pt idx="119">
                  <c:v>3.6466850788221095E-2</c:v>
                </c:pt>
              </c:numCache>
            </c:numRef>
          </c:yVal>
          <c:smooth val="0"/>
          <c:extLst>
            <c:ext xmlns:c16="http://schemas.microsoft.com/office/drawing/2014/chart" uri="{C3380CC4-5D6E-409C-BE32-E72D297353CC}">
              <c16:uniqueId val="{00000001-B9E8-4C4F-BD01-BDBB01AB25EA}"/>
            </c:ext>
          </c:extLst>
        </c:ser>
        <c:dLbls>
          <c:showLegendKey val="0"/>
          <c:showVal val="0"/>
          <c:showCatName val="0"/>
          <c:showSerName val="0"/>
          <c:showPercent val="0"/>
          <c:showBubbleSize val="0"/>
        </c:dLbls>
        <c:axId val="183885824"/>
        <c:axId val="183887744"/>
      </c:scatterChart>
      <c:valAx>
        <c:axId val="183885824"/>
        <c:scaling>
          <c:orientation val="minMax"/>
          <c:max val="30"/>
          <c:min val="0"/>
        </c:scaling>
        <c:delete val="0"/>
        <c:axPos val="b"/>
        <c:title>
          <c:tx>
            <c:rich>
              <a:bodyPr/>
              <a:lstStyle/>
              <a:p>
                <a:pPr>
                  <a:defRPr/>
                </a:pPr>
                <a:r>
                  <a:rPr lang="en-US"/>
                  <a:t>Years to maturity</a:t>
                </a:r>
              </a:p>
            </c:rich>
          </c:tx>
          <c:overlay val="0"/>
        </c:title>
        <c:numFmt formatCode="0" sourceLinked="0"/>
        <c:majorTickMark val="out"/>
        <c:minorTickMark val="none"/>
        <c:tickLblPos val="nextTo"/>
        <c:crossAx val="183887744"/>
        <c:crosses val="autoZero"/>
        <c:crossBetween val="midCat"/>
      </c:valAx>
      <c:valAx>
        <c:axId val="183887744"/>
        <c:scaling>
          <c:orientation val="minMax"/>
        </c:scaling>
        <c:delete val="0"/>
        <c:axPos val="l"/>
        <c:majorGridlines/>
        <c:numFmt formatCode="0.000" sourceLinked="0"/>
        <c:majorTickMark val="out"/>
        <c:minorTickMark val="none"/>
        <c:tickLblPos val="nextTo"/>
        <c:crossAx val="183885824"/>
        <c:crosses val="autoZero"/>
        <c:crossBetween val="midCat"/>
      </c:valAx>
    </c:plotArea>
    <c:legend>
      <c:legendPos val="r"/>
      <c:layout>
        <c:manualLayout>
          <c:xMode val="edge"/>
          <c:yMode val="edge"/>
          <c:x val="0.11766673722757537"/>
          <c:y val="0.13131755138039086"/>
          <c:w val="0.23268574756165844"/>
          <c:h val="8.2939617569028762E-2"/>
        </c:manualLayout>
      </c:layout>
      <c:overlay val="0"/>
    </c:legend>
    <c:plotVisOnly val="1"/>
    <c:dispBlanksAs val="gap"/>
    <c:showDLblsOverMax val="0"/>
  </c:chart>
  <c:printSettings>
    <c:headerFooter/>
    <c:pageMargins b="0.75000000000000211" l="0.70000000000000062" r="0.70000000000000062" t="0.75000000000000211" header="0.30000000000000032" footer="0.30000000000000032"/>
    <c:pageSetup/>
  </c:printSettings>
</c:chartSpace>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9</xdr:col>
      <xdr:colOff>15240</xdr:colOff>
      <xdr:row>4</xdr:row>
      <xdr:rowOff>7620</xdr:rowOff>
    </xdr:from>
    <xdr:to>
      <xdr:col>12</xdr:col>
      <xdr:colOff>588839</xdr:colOff>
      <xdr:row>8</xdr:row>
      <xdr:rowOff>52862</xdr:rowOff>
    </xdr:to>
    <mc:AlternateContent xmlns:mc="http://schemas.openxmlformats.org/markup-compatibility/2006" xmlns:a14="http://schemas.microsoft.com/office/drawing/2010/main">
      <mc:Choice Requires="a14">
        <xdr:sp macro="" textlink="">
          <xdr:nvSpPr>
            <xdr:cNvPr id="2" name="Object 1">
              <a:extLst>
                <a:ext uri="{63B3BB69-23CF-44E3-9099-C40C66FF867C}">
                  <a14:compatExt spid="_x0000_s9217"/>
                </a:ext>
                <a:ext uri="{FF2B5EF4-FFF2-40B4-BE49-F238E27FC236}">
                  <a16:creationId xmlns:a16="http://schemas.microsoft.com/office/drawing/2014/main" id="{00000000-0008-0000-0000-000001240000}"/>
                </a:ext>
              </a:extLst>
            </xdr:cNvPr>
            <xdr:cNvSpPr txBox="1"/>
          </xdr:nvSpPr>
          <xdr:spPr>
            <a:xfrm>
              <a:off x="8721090" y="788670"/>
              <a:ext cx="2757999" cy="705642"/>
            </a:xfrm>
            <a:prstGeom prst="rect">
              <a:avLst/>
            </a:prstGeom>
            <a:solidFill>
              <a:srgbClr val="92D050"/>
            </a:solidFill>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n-US" sz="1400" i="1">
                            <a:solidFill>
                              <a:srgbClr val="000000"/>
                            </a:solidFill>
                            <a:latin typeface="Cambria Math" panose="02040503050406030204" pitchFamily="18" charset="0"/>
                          </a:rPr>
                        </m:ctrlPr>
                      </m:sSubPr>
                      <m:e>
                        <m:r>
                          <a:rPr lang="en-US" sz="1400" i="1">
                            <a:solidFill>
                              <a:srgbClr val="000000"/>
                            </a:solidFill>
                            <a:latin typeface="Cambria Math" panose="02040503050406030204" pitchFamily="18" charset="0"/>
                          </a:rPr>
                          <m:t>𝑃</m:t>
                        </m:r>
                      </m:e>
                      <m:sub>
                        <m:r>
                          <a:rPr lang="en-US" sz="1400" i="1">
                            <a:solidFill>
                              <a:srgbClr val="000000"/>
                            </a:solidFill>
                            <a:latin typeface="Cambria Math" panose="02040503050406030204" pitchFamily="18" charset="0"/>
                          </a:rPr>
                          <m:t>𝑖</m:t>
                        </m:r>
                      </m:sub>
                    </m:sSub>
                    <m:r>
                      <a:rPr lang="en-US" sz="1400" i="1">
                        <a:solidFill>
                          <a:srgbClr val="000000"/>
                        </a:solidFill>
                        <a:latin typeface="Cambria Math" panose="02040503050406030204" pitchFamily="18" charset="0"/>
                      </a:rPr>
                      <m:t>=</m:t>
                    </m:r>
                    <m:nary>
                      <m:naryPr>
                        <m:chr m:val="∑"/>
                        <m:ctrlPr>
                          <a:rPr lang="en-US" sz="1400" i="1">
                            <a:solidFill>
                              <a:srgbClr val="000000"/>
                            </a:solidFill>
                            <a:latin typeface="Cambria Math" panose="02040503050406030204" pitchFamily="18" charset="0"/>
                          </a:rPr>
                        </m:ctrlPr>
                      </m:naryPr>
                      <m:sub>
                        <m:r>
                          <a:rPr lang="en-US" sz="1400" i="1">
                            <a:solidFill>
                              <a:srgbClr val="000000"/>
                            </a:solidFill>
                            <a:latin typeface="Cambria Math" panose="02040503050406030204" pitchFamily="18" charset="0"/>
                          </a:rPr>
                          <m:t>𝑡</m:t>
                        </m:r>
                        <m:r>
                          <a:rPr lang="en-US" sz="1400" i="1">
                            <a:solidFill>
                              <a:srgbClr val="000000"/>
                            </a:solidFill>
                            <a:latin typeface="Cambria Math" panose="02040503050406030204" pitchFamily="18" charset="0"/>
                          </a:rPr>
                          <m:t>=1</m:t>
                        </m:r>
                      </m:sub>
                      <m:sup>
                        <m:r>
                          <a:rPr lang="en-US" sz="1400" i="1">
                            <a:solidFill>
                              <a:srgbClr val="000000"/>
                            </a:solidFill>
                            <a:latin typeface="Cambria Math" panose="02040503050406030204" pitchFamily="18" charset="0"/>
                          </a:rPr>
                          <m:t>𝑖</m:t>
                        </m:r>
                        <m:r>
                          <a:rPr lang="en-US" sz="1400" i="1">
                            <a:solidFill>
                              <a:srgbClr val="000000"/>
                            </a:solidFill>
                            <a:latin typeface="Cambria Math" panose="02040503050406030204" pitchFamily="18" charset="0"/>
                          </a:rPr>
                          <m:t>−1</m:t>
                        </m:r>
                      </m:sup>
                      <m:e>
                        <m:f>
                          <m:fPr>
                            <m:ctrlPr>
                              <a:rPr lang="en-US" sz="1400" i="1">
                                <a:solidFill>
                                  <a:srgbClr val="000000"/>
                                </a:solidFill>
                                <a:latin typeface="Cambria Math" panose="02040503050406030204" pitchFamily="18" charset="0"/>
                              </a:rPr>
                            </m:ctrlPr>
                          </m:fPr>
                          <m:num>
                            <m:sSub>
                              <m:sSubPr>
                                <m:ctrlPr>
                                  <a:rPr lang="en-US" sz="1400" i="1">
                                    <a:solidFill>
                                      <a:srgbClr val="000000"/>
                                    </a:solidFill>
                                    <a:latin typeface="Cambria Math" panose="02040503050406030204" pitchFamily="18" charset="0"/>
                                  </a:rPr>
                                </m:ctrlPr>
                              </m:sSubPr>
                              <m:e>
                                <m:r>
                                  <a:rPr lang="en-US" sz="1400" i="1">
                                    <a:solidFill>
                                      <a:srgbClr val="000000"/>
                                    </a:solidFill>
                                    <a:latin typeface="Cambria Math" panose="02040503050406030204" pitchFamily="18" charset="0"/>
                                  </a:rPr>
                                  <m:t>𝐶</m:t>
                                </m:r>
                              </m:e>
                              <m:sub>
                                <m:r>
                                  <a:rPr lang="en-US" sz="1400" i="1">
                                    <a:solidFill>
                                      <a:srgbClr val="000000"/>
                                    </a:solidFill>
                                    <a:latin typeface="Cambria Math" panose="02040503050406030204" pitchFamily="18" charset="0"/>
                                  </a:rPr>
                                  <m:t>𝑖</m:t>
                                </m:r>
                              </m:sub>
                            </m:sSub>
                          </m:num>
                          <m:den>
                            <m:r>
                              <a:rPr lang="en-US" sz="1400" i="1">
                                <a:solidFill>
                                  <a:srgbClr val="000000"/>
                                </a:solidFill>
                                <a:latin typeface="Cambria Math" panose="02040503050406030204" pitchFamily="18" charset="0"/>
                              </a:rPr>
                              <m:t>(1+</m:t>
                            </m:r>
                            <m:sSub>
                              <m:sSubPr>
                                <m:ctrlPr>
                                  <a:rPr lang="en-US" sz="1400" i="1">
                                    <a:solidFill>
                                      <a:srgbClr val="000000"/>
                                    </a:solidFill>
                                    <a:latin typeface="Cambria Math" panose="02040503050406030204" pitchFamily="18" charset="0"/>
                                  </a:rPr>
                                </m:ctrlPr>
                              </m:sSubPr>
                              <m:e>
                                <m:r>
                                  <a:rPr lang="en-US" sz="1400" b="0" i="1">
                                    <a:solidFill>
                                      <a:srgbClr val="000000"/>
                                    </a:solidFill>
                                    <a:latin typeface="Cambria Math" panose="02040503050406030204" pitchFamily="18" charset="0"/>
                                  </a:rPr>
                                  <m:t>𝑧</m:t>
                                </m:r>
                              </m:e>
                              <m:sub>
                                <m:r>
                                  <a:rPr lang="en-US" sz="1400" i="1">
                                    <a:solidFill>
                                      <a:srgbClr val="000000"/>
                                    </a:solidFill>
                                    <a:latin typeface="Cambria Math" panose="02040503050406030204" pitchFamily="18" charset="0"/>
                                  </a:rPr>
                                  <m:t>𝑡</m:t>
                                </m:r>
                              </m:sub>
                            </m:sSub>
                            <m:r>
                              <a:rPr lang="en-US" sz="1400" i="1">
                                <a:solidFill>
                                  <a:srgbClr val="000000"/>
                                </a:solidFill>
                                <a:latin typeface="Cambria Math" panose="02040503050406030204" pitchFamily="18" charset="0"/>
                              </a:rPr>
                              <m:t>/2</m:t>
                            </m:r>
                            <m:sSup>
                              <m:sSupPr>
                                <m:ctrlPr>
                                  <a:rPr lang="en-US" sz="1400" i="1">
                                    <a:solidFill>
                                      <a:srgbClr val="000000"/>
                                    </a:solidFill>
                                    <a:latin typeface="Cambria Math" panose="02040503050406030204" pitchFamily="18" charset="0"/>
                                  </a:rPr>
                                </m:ctrlPr>
                              </m:sSupPr>
                              <m:e>
                                <m:r>
                                  <a:rPr lang="en-US" sz="1400" i="1">
                                    <a:solidFill>
                                      <a:srgbClr val="000000"/>
                                    </a:solidFill>
                                    <a:latin typeface="Cambria Math" panose="02040503050406030204" pitchFamily="18" charset="0"/>
                                  </a:rPr>
                                  <m:t>)</m:t>
                                </m:r>
                              </m:e>
                              <m:sup>
                                <m:r>
                                  <a:rPr lang="en-US" sz="1400" i="1">
                                    <a:solidFill>
                                      <a:srgbClr val="000000"/>
                                    </a:solidFill>
                                    <a:latin typeface="Cambria Math" panose="02040503050406030204" pitchFamily="18" charset="0"/>
                                  </a:rPr>
                                  <m:t>𝑡</m:t>
                                </m:r>
                              </m:sup>
                            </m:sSup>
                          </m:den>
                        </m:f>
                      </m:e>
                    </m:nary>
                    <m:r>
                      <a:rPr lang="en-US" sz="1400" i="1">
                        <a:solidFill>
                          <a:srgbClr val="000000"/>
                        </a:solidFill>
                        <a:latin typeface="Cambria Math" panose="02040503050406030204" pitchFamily="18" charset="0"/>
                      </a:rPr>
                      <m:t>+</m:t>
                    </m:r>
                    <m:f>
                      <m:fPr>
                        <m:ctrlPr>
                          <a:rPr lang="en-US" sz="1400" i="1">
                            <a:solidFill>
                              <a:srgbClr val="000000"/>
                            </a:solidFill>
                            <a:latin typeface="Cambria Math" panose="02040503050406030204" pitchFamily="18" charset="0"/>
                          </a:rPr>
                        </m:ctrlPr>
                      </m:fPr>
                      <m:num>
                        <m:sSub>
                          <m:sSubPr>
                            <m:ctrlPr>
                              <a:rPr lang="en-US" sz="1400" i="1">
                                <a:solidFill>
                                  <a:srgbClr val="000000"/>
                                </a:solidFill>
                                <a:latin typeface="Cambria Math" panose="02040503050406030204" pitchFamily="18" charset="0"/>
                              </a:rPr>
                            </m:ctrlPr>
                          </m:sSubPr>
                          <m:e>
                            <m:r>
                              <a:rPr lang="en-US" sz="1400" i="1">
                                <a:solidFill>
                                  <a:srgbClr val="000000"/>
                                </a:solidFill>
                                <a:latin typeface="Cambria Math" panose="02040503050406030204" pitchFamily="18" charset="0"/>
                              </a:rPr>
                              <m:t>𝐶</m:t>
                            </m:r>
                          </m:e>
                          <m:sub>
                            <m:r>
                              <a:rPr lang="en-US" sz="1400" i="1">
                                <a:solidFill>
                                  <a:srgbClr val="000000"/>
                                </a:solidFill>
                                <a:latin typeface="Cambria Math" panose="02040503050406030204" pitchFamily="18" charset="0"/>
                              </a:rPr>
                              <m:t>𝑖</m:t>
                            </m:r>
                          </m:sub>
                        </m:sSub>
                        <m:r>
                          <a:rPr lang="en-US" sz="1400" i="1">
                            <a:solidFill>
                              <a:srgbClr val="000000"/>
                            </a:solidFill>
                            <a:latin typeface="Cambria Math" panose="02040503050406030204" pitchFamily="18" charset="0"/>
                          </a:rPr>
                          <m:t>+</m:t>
                        </m:r>
                        <m:r>
                          <a:rPr lang="en-US" sz="1400" i="1">
                            <a:solidFill>
                              <a:srgbClr val="000000"/>
                            </a:solidFill>
                            <a:latin typeface="Cambria Math" panose="02040503050406030204" pitchFamily="18" charset="0"/>
                          </a:rPr>
                          <m:t>𝐹</m:t>
                        </m:r>
                      </m:num>
                      <m:den>
                        <m:r>
                          <a:rPr lang="en-US" sz="1400" i="1">
                            <a:solidFill>
                              <a:srgbClr val="000000"/>
                            </a:solidFill>
                            <a:latin typeface="Cambria Math" panose="02040503050406030204" pitchFamily="18" charset="0"/>
                          </a:rPr>
                          <m:t>(1+</m:t>
                        </m:r>
                        <m:r>
                          <a:rPr lang="en-US" sz="1400" b="0" i="1">
                            <a:solidFill>
                              <a:srgbClr val="000000"/>
                            </a:solidFill>
                            <a:latin typeface="Cambria Math" panose="02040503050406030204" pitchFamily="18" charset="0"/>
                          </a:rPr>
                          <m:t>𝑧</m:t>
                        </m:r>
                        <m:r>
                          <a:rPr lang="en-US" sz="1400" i="1">
                            <a:solidFill>
                              <a:srgbClr val="000000"/>
                            </a:solidFill>
                            <a:latin typeface="Cambria Math" panose="02040503050406030204" pitchFamily="18" charset="0"/>
                          </a:rPr>
                          <m:t>/2</m:t>
                        </m:r>
                        <m:sSup>
                          <m:sSupPr>
                            <m:ctrlPr>
                              <a:rPr lang="en-US" sz="1400" i="1">
                                <a:solidFill>
                                  <a:srgbClr val="000000"/>
                                </a:solidFill>
                                <a:latin typeface="Cambria Math" panose="02040503050406030204" pitchFamily="18" charset="0"/>
                              </a:rPr>
                            </m:ctrlPr>
                          </m:sSupPr>
                          <m:e>
                            <m:r>
                              <a:rPr lang="en-US" sz="1400" i="1">
                                <a:solidFill>
                                  <a:srgbClr val="000000"/>
                                </a:solidFill>
                                <a:latin typeface="Cambria Math" panose="02040503050406030204" pitchFamily="18" charset="0"/>
                              </a:rPr>
                              <m:t>)</m:t>
                            </m:r>
                          </m:e>
                          <m:sup>
                            <m:r>
                              <a:rPr lang="en-US" sz="1400" i="1">
                                <a:solidFill>
                                  <a:srgbClr val="000000"/>
                                </a:solidFill>
                                <a:latin typeface="Cambria Math" panose="02040503050406030204" pitchFamily="18" charset="0"/>
                              </a:rPr>
                              <m:t>𝑖</m:t>
                            </m:r>
                          </m:sup>
                        </m:sSup>
                      </m:den>
                    </m:f>
                  </m:oMath>
                </m:oMathPara>
              </a14:m>
              <a:endParaRPr lang="en-US" sz="1400"/>
            </a:p>
          </xdr:txBody>
        </xdr:sp>
      </mc:Choice>
      <mc:Fallback xmlns="">
        <xdr:sp macro="" textlink="">
          <xdr:nvSpPr>
            <xdr:cNvPr id="2" name="Object 1">
              <a:extLst>
                <a:ext uri="{63B3BB69-23CF-44E3-9099-C40C66FF867C}">
                  <a14:compatExt xmlns:a14="http://schemas.microsoft.com/office/drawing/2010/main" spid="_x0000_s9217"/>
                </a:ext>
                <a:ext uri="{FF2B5EF4-FFF2-40B4-BE49-F238E27FC236}">
                  <a16:creationId xmlns:a16="http://schemas.microsoft.com/office/drawing/2014/main" id="{00000000-0008-0000-0000-000001240000}"/>
                </a:ext>
              </a:extLst>
            </xdr:cNvPr>
            <xdr:cNvSpPr txBox="1"/>
          </xdr:nvSpPr>
          <xdr:spPr>
            <a:xfrm>
              <a:off x="8721090" y="788670"/>
              <a:ext cx="2757999" cy="705642"/>
            </a:xfrm>
            <a:prstGeom prst="rect">
              <a:avLst/>
            </a:prstGeom>
            <a:solidFill>
              <a:srgbClr val="92D050"/>
            </a:solidFill>
          </xdr:spPr>
          <xdr:txBody>
            <a:bodyPr vertOverflow="clip" horzOverflow="clip" wrap="none">
              <a:spAutoFit/>
            </a:bodyPr>
            <a:lstStyle/>
            <a:p>
              <a:pPr/>
              <a:r>
                <a:rPr lang="en-US" sz="1400" i="0">
                  <a:solidFill>
                    <a:srgbClr val="000000"/>
                  </a:solidFill>
                  <a:latin typeface="Cambria Math" panose="02040503050406030204" pitchFamily="18" charset="0"/>
                </a:rPr>
                <a:t>𝑃_𝑖=∑24_(𝑡=1)^(𝑖−1)▒𝐶_𝑖/((1+</a:t>
              </a:r>
              <a:r>
                <a:rPr lang="en-US" sz="1400" b="0" i="0">
                  <a:solidFill>
                    <a:srgbClr val="000000"/>
                  </a:solidFill>
                  <a:latin typeface="Cambria Math" panose="02040503050406030204" pitchFamily="18" charset="0"/>
                </a:rPr>
                <a:t>𝑧_</a:t>
              </a:r>
              <a:r>
                <a:rPr lang="en-US" sz="1400" i="0">
                  <a:solidFill>
                    <a:srgbClr val="000000"/>
                  </a:solidFill>
                  <a:latin typeface="Cambria Math" panose="02040503050406030204" pitchFamily="18" charset="0"/>
                </a:rPr>
                <a:t>𝑡/2)^𝑡 )+(𝐶_𝑖+𝐹)/((1+</a:t>
              </a:r>
              <a:r>
                <a:rPr lang="en-US" sz="1400" b="0" i="0">
                  <a:solidFill>
                    <a:srgbClr val="000000"/>
                  </a:solidFill>
                  <a:latin typeface="Cambria Math" panose="02040503050406030204" pitchFamily="18" charset="0"/>
                </a:rPr>
                <a:t>𝑧</a:t>
              </a:r>
              <a:r>
                <a:rPr lang="en-US" sz="1400" i="0">
                  <a:solidFill>
                    <a:srgbClr val="000000"/>
                  </a:solidFill>
                  <a:latin typeface="Cambria Math" panose="02040503050406030204" pitchFamily="18" charset="0"/>
                </a:rPr>
                <a:t>/2)^𝑖 )</a:t>
              </a:r>
              <a:endParaRPr lang="en-US" sz="1400"/>
            </a:p>
          </xdr:txBody>
        </xdr:sp>
      </mc:Fallback>
    </mc:AlternateContent>
    <xdr:clientData/>
  </xdr:twoCellAnchor>
  <xdr:twoCellAnchor>
    <xdr:from>
      <xdr:col>9</xdr:col>
      <xdr:colOff>0</xdr:colOff>
      <xdr:row>9</xdr:row>
      <xdr:rowOff>0</xdr:rowOff>
    </xdr:from>
    <xdr:to>
      <xdr:col>13</xdr:col>
      <xdr:colOff>67485</xdr:colOff>
      <xdr:row>12</xdr:row>
      <xdr:rowOff>156926</xdr:rowOff>
    </xdr:to>
    <mc:AlternateContent xmlns:mc="http://schemas.openxmlformats.org/markup-compatibility/2006" xmlns:a14="http://schemas.microsoft.com/office/drawing/2010/main">
      <mc:Choice Requires="a14">
        <xdr:sp macro="" textlink="">
          <xdr:nvSpPr>
            <xdr:cNvPr id="3" name="Object 2">
              <a:extLst>
                <a:ext uri="{63B3BB69-23CF-44E3-9099-C40C66FF867C}">
                  <a14:compatExt spid="_x0000_s9218"/>
                </a:ext>
                <a:ext uri="{FF2B5EF4-FFF2-40B4-BE49-F238E27FC236}">
                  <a16:creationId xmlns:a16="http://schemas.microsoft.com/office/drawing/2014/main" id="{00000000-0008-0000-0000-000002240000}"/>
                </a:ext>
              </a:extLst>
            </xdr:cNvPr>
            <xdr:cNvSpPr txBox="1"/>
          </xdr:nvSpPr>
          <xdr:spPr>
            <a:xfrm>
              <a:off x="8705850" y="1606550"/>
              <a:ext cx="2874185" cy="664926"/>
            </a:xfrm>
            <a:prstGeom prst="rect">
              <a:avLst/>
            </a:prstGeom>
            <a:solidFill>
              <a:srgbClr val="92D050"/>
            </a:solidFill>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n-US" sz="1400" i="1">
                            <a:solidFill>
                              <a:srgbClr val="000000"/>
                            </a:solidFill>
                            <a:latin typeface="Cambria Math" panose="02040503050406030204" pitchFamily="18" charset="0"/>
                          </a:rPr>
                        </m:ctrlPr>
                      </m:sSubPr>
                      <m:e>
                        <m:r>
                          <a:rPr lang="en-US" sz="1400" b="0" i="1">
                            <a:solidFill>
                              <a:srgbClr val="000000"/>
                            </a:solidFill>
                            <a:latin typeface="Cambria Math" panose="02040503050406030204" pitchFamily="18" charset="0"/>
                          </a:rPr>
                          <m:t>𝑧</m:t>
                        </m:r>
                      </m:e>
                      <m:sub>
                        <m:r>
                          <a:rPr lang="en-US" sz="1400" i="1">
                            <a:solidFill>
                              <a:srgbClr val="000000"/>
                            </a:solidFill>
                            <a:latin typeface="Cambria Math" panose="02040503050406030204" pitchFamily="18" charset="0"/>
                          </a:rPr>
                          <m:t>𝑖</m:t>
                        </m:r>
                      </m:sub>
                    </m:sSub>
                    <m:r>
                      <a:rPr lang="en-US" sz="1400" i="1">
                        <a:solidFill>
                          <a:srgbClr val="000000"/>
                        </a:solidFill>
                        <a:latin typeface="Cambria Math" panose="02040503050406030204" pitchFamily="18" charset="0"/>
                      </a:rPr>
                      <m:t>=</m:t>
                    </m:r>
                    <m:d>
                      <m:dPr>
                        <m:begChr m:val="["/>
                        <m:endChr m:val="]"/>
                        <m:ctrlPr>
                          <a:rPr lang="en-US" sz="1400" i="1">
                            <a:solidFill>
                              <a:srgbClr val="000000"/>
                            </a:solidFill>
                            <a:latin typeface="Cambria Math" panose="02040503050406030204" pitchFamily="18" charset="0"/>
                          </a:rPr>
                        </m:ctrlPr>
                      </m:dPr>
                      <m:e>
                        <m:sSup>
                          <m:sSupPr>
                            <m:ctrlPr>
                              <a:rPr lang="en-US" sz="1400" i="1">
                                <a:solidFill>
                                  <a:srgbClr val="000000"/>
                                </a:solidFill>
                                <a:latin typeface="Cambria Math" panose="02040503050406030204" pitchFamily="18" charset="0"/>
                              </a:rPr>
                            </m:ctrlPr>
                          </m:sSupPr>
                          <m:e>
                            <m:d>
                              <m:dPr>
                                <m:ctrlPr>
                                  <a:rPr lang="en-US" sz="1400" i="1">
                                    <a:solidFill>
                                      <a:srgbClr val="000000"/>
                                    </a:solidFill>
                                    <a:latin typeface="Cambria Math" panose="02040503050406030204" pitchFamily="18" charset="0"/>
                                  </a:rPr>
                                </m:ctrlPr>
                              </m:dPr>
                              <m:e>
                                <m:f>
                                  <m:fPr>
                                    <m:ctrlPr>
                                      <a:rPr lang="en-US" sz="1400" i="1">
                                        <a:solidFill>
                                          <a:srgbClr val="000000"/>
                                        </a:solidFill>
                                        <a:latin typeface="Cambria Math" panose="02040503050406030204" pitchFamily="18" charset="0"/>
                                      </a:rPr>
                                    </m:ctrlPr>
                                  </m:fPr>
                                  <m:num>
                                    <m:sSub>
                                      <m:sSubPr>
                                        <m:ctrlPr>
                                          <a:rPr lang="en-US" sz="1400" i="1">
                                            <a:solidFill>
                                              <a:srgbClr val="000000"/>
                                            </a:solidFill>
                                            <a:latin typeface="Cambria Math" panose="02040503050406030204" pitchFamily="18" charset="0"/>
                                          </a:rPr>
                                        </m:ctrlPr>
                                      </m:sSubPr>
                                      <m:e>
                                        <m:r>
                                          <a:rPr lang="en-US" sz="1400" i="1">
                                            <a:solidFill>
                                              <a:srgbClr val="000000"/>
                                            </a:solidFill>
                                            <a:latin typeface="Cambria Math" panose="02040503050406030204" pitchFamily="18" charset="0"/>
                                          </a:rPr>
                                          <m:t>𝐶</m:t>
                                        </m:r>
                                      </m:e>
                                      <m:sub>
                                        <m:r>
                                          <a:rPr lang="en-US" sz="1400" i="1">
                                            <a:solidFill>
                                              <a:srgbClr val="000000"/>
                                            </a:solidFill>
                                            <a:latin typeface="Cambria Math" panose="02040503050406030204" pitchFamily="18" charset="0"/>
                                          </a:rPr>
                                          <m:t>𝑖</m:t>
                                        </m:r>
                                      </m:sub>
                                    </m:sSub>
                                    <m:r>
                                      <a:rPr lang="en-US" sz="1400" i="1">
                                        <a:solidFill>
                                          <a:srgbClr val="000000"/>
                                        </a:solidFill>
                                        <a:latin typeface="Cambria Math" panose="02040503050406030204" pitchFamily="18" charset="0"/>
                                      </a:rPr>
                                      <m:t>+</m:t>
                                    </m:r>
                                    <m:r>
                                      <a:rPr lang="en-US" sz="1400" i="1">
                                        <a:solidFill>
                                          <a:srgbClr val="000000"/>
                                        </a:solidFill>
                                        <a:latin typeface="Cambria Math" panose="02040503050406030204" pitchFamily="18" charset="0"/>
                                      </a:rPr>
                                      <m:t>𝐹</m:t>
                                    </m:r>
                                  </m:num>
                                  <m:den>
                                    <m:sSub>
                                      <m:sSubPr>
                                        <m:ctrlPr>
                                          <a:rPr lang="en-US" sz="1400" i="1">
                                            <a:solidFill>
                                              <a:srgbClr val="000000"/>
                                            </a:solidFill>
                                            <a:latin typeface="Cambria Math" panose="02040503050406030204" pitchFamily="18" charset="0"/>
                                          </a:rPr>
                                        </m:ctrlPr>
                                      </m:sSubPr>
                                      <m:e>
                                        <m:r>
                                          <a:rPr lang="en-US" sz="1400" i="1">
                                            <a:solidFill>
                                              <a:srgbClr val="000000"/>
                                            </a:solidFill>
                                            <a:latin typeface="Cambria Math" panose="02040503050406030204" pitchFamily="18" charset="0"/>
                                          </a:rPr>
                                          <m:t>𝑃</m:t>
                                        </m:r>
                                      </m:e>
                                      <m:sub>
                                        <m:r>
                                          <a:rPr lang="en-US" sz="1400" i="1">
                                            <a:solidFill>
                                              <a:srgbClr val="000000"/>
                                            </a:solidFill>
                                            <a:latin typeface="Cambria Math" panose="02040503050406030204" pitchFamily="18" charset="0"/>
                                          </a:rPr>
                                          <m:t>𝑖</m:t>
                                        </m:r>
                                      </m:sub>
                                    </m:sSub>
                                    <m:r>
                                      <a:rPr lang="en-US" sz="1400" i="1">
                                        <a:solidFill>
                                          <a:srgbClr val="000000"/>
                                        </a:solidFill>
                                        <a:latin typeface="Cambria Math" panose="02040503050406030204" pitchFamily="18" charset="0"/>
                                      </a:rPr>
                                      <m:t>−</m:t>
                                    </m:r>
                                    <m:sSub>
                                      <m:sSubPr>
                                        <m:ctrlPr>
                                          <a:rPr lang="en-US" sz="1400" i="1">
                                            <a:solidFill>
                                              <a:srgbClr val="000000"/>
                                            </a:solidFill>
                                            <a:latin typeface="Cambria Math" panose="02040503050406030204" pitchFamily="18" charset="0"/>
                                          </a:rPr>
                                        </m:ctrlPr>
                                      </m:sSubPr>
                                      <m:e>
                                        <m:r>
                                          <a:rPr lang="en-US" sz="1400" i="1">
                                            <a:solidFill>
                                              <a:srgbClr val="000000"/>
                                            </a:solidFill>
                                            <a:latin typeface="Cambria Math" panose="02040503050406030204" pitchFamily="18" charset="0"/>
                                          </a:rPr>
                                          <m:t>𝐶</m:t>
                                        </m:r>
                                      </m:e>
                                      <m:sub>
                                        <m:r>
                                          <a:rPr lang="en-US" sz="1400" i="1">
                                            <a:solidFill>
                                              <a:srgbClr val="000000"/>
                                            </a:solidFill>
                                            <a:latin typeface="Cambria Math" panose="02040503050406030204" pitchFamily="18" charset="0"/>
                                          </a:rPr>
                                          <m:t>𝑖</m:t>
                                        </m:r>
                                      </m:sub>
                                    </m:sSub>
                                    <m:nary>
                                      <m:naryPr>
                                        <m:chr m:val="∑"/>
                                        <m:ctrlPr>
                                          <a:rPr lang="en-US" sz="1400" i="1">
                                            <a:solidFill>
                                              <a:srgbClr val="000000"/>
                                            </a:solidFill>
                                            <a:latin typeface="Cambria Math" panose="02040503050406030204" pitchFamily="18" charset="0"/>
                                          </a:rPr>
                                        </m:ctrlPr>
                                      </m:naryPr>
                                      <m:sub>
                                        <m:r>
                                          <a:rPr lang="en-US" sz="1400" i="1">
                                            <a:solidFill>
                                              <a:srgbClr val="000000"/>
                                            </a:solidFill>
                                            <a:latin typeface="Cambria Math" panose="02040503050406030204" pitchFamily="18" charset="0"/>
                                          </a:rPr>
                                          <m:t>𝑡</m:t>
                                        </m:r>
                                        <m:r>
                                          <a:rPr lang="en-US" sz="1400" i="1">
                                            <a:solidFill>
                                              <a:srgbClr val="000000"/>
                                            </a:solidFill>
                                            <a:latin typeface="Cambria Math" panose="02040503050406030204" pitchFamily="18" charset="0"/>
                                          </a:rPr>
                                          <m:t>=1</m:t>
                                        </m:r>
                                      </m:sub>
                                      <m:sup>
                                        <m:r>
                                          <a:rPr lang="en-US" sz="1400" i="1">
                                            <a:solidFill>
                                              <a:srgbClr val="000000"/>
                                            </a:solidFill>
                                            <a:latin typeface="Cambria Math" panose="02040503050406030204" pitchFamily="18" charset="0"/>
                                          </a:rPr>
                                          <m:t>𝑖</m:t>
                                        </m:r>
                                        <m:r>
                                          <a:rPr lang="en-US" sz="1400" i="1">
                                            <a:solidFill>
                                              <a:srgbClr val="000000"/>
                                            </a:solidFill>
                                            <a:latin typeface="Cambria Math" panose="02040503050406030204" pitchFamily="18" charset="0"/>
                                          </a:rPr>
                                          <m:t>−1</m:t>
                                        </m:r>
                                      </m:sup>
                                      <m:e>
                                        <m:sSub>
                                          <m:sSubPr>
                                            <m:ctrlPr>
                                              <a:rPr lang="en-US" sz="1400" i="1">
                                                <a:solidFill>
                                                  <a:srgbClr val="000000"/>
                                                </a:solidFill>
                                                <a:latin typeface="Cambria Math" panose="02040503050406030204" pitchFamily="18" charset="0"/>
                                              </a:rPr>
                                            </m:ctrlPr>
                                          </m:sSubPr>
                                          <m:e>
                                            <m:r>
                                              <a:rPr lang="en-US" sz="1400" i="1">
                                                <a:solidFill>
                                                  <a:srgbClr val="000000"/>
                                                </a:solidFill>
                                                <a:latin typeface="Cambria Math" panose="02040503050406030204" pitchFamily="18" charset="0"/>
                                              </a:rPr>
                                              <m:t>𝑑</m:t>
                                            </m:r>
                                          </m:e>
                                          <m:sub>
                                            <m:r>
                                              <a:rPr lang="en-US" sz="1400" i="1">
                                                <a:solidFill>
                                                  <a:srgbClr val="000000"/>
                                                </a:solidFill>
                                                <a:latin typeface="Cambria Math" panose="02040503050406030204" pitchFamily="18" charset="0"/>
                                              </a:rPr>
                                              <m:t>𝑡</m:t>
                                            </m:r>
                                          </m:sub>
                                        </m:sSub>
                                      </m:e>
                                    </m:nary>
                                  </m:den>
                                </m:f>
                              </m:e>
                            </m:d>
                          </m:e>
                          <m:sup>
                            <m:r>
                              <a:rPr lang="en-US" sz="1400" i="1">
                                <a:solidFill>
                                  <a:srgbClr val="000000"/>
                                </a:solidFill>
                                <a:latin typeface="Cambria Math" panose="02040503050406030204" pitchFamily="18" charset="0"/>
                              </a:rPr>
                              <m:t>1/</m:t>
                            </m:r>
                            <m:r>
                              <a:rPr lang="en-US" sz="1400" i="1">
                                <a:solidFill>
                                  <a:srgbClr val="000000"/>
                                </a:solidFill>
                                <a:latin typeface="Cambria Math" panose="02040503050406030204" pitchFamily="18" charset="0"/>
                              </a:rPr>
                              <m:t>𝑖</m:t>
                            </m:r>
                          </m:sup>
                        </m:sSup>
                        <m:r>
                          <a:rPr lang="en-US" sz="1400" i="1">
                            <a:solidFill>
                              <a:srgbClr val="000000"/>
                            </a:solidFill>
                            <a:latin typeface="Cambria Math" panose="02040503050406030204" pitchFamily="18" charset="0"/>
                          </a:rPr>
                          <m:t>−1</m:t>
                        </m:r>
                      </m:e>
                    </m:d>
                    <m:r>
                      <a:rPr lang="en-US" sz="1400" i="1">
                        <a:solidFill>
                          <a:srgbClr val="000000"/>
                        </a:solidFill>
                        <a:latin typeface="Cambria Math" panose="02040503050406030204" pitchFamily="18" charset="0"/>
                      </a:rPr>
                      <m:t>×2</m:t>
                    </m:r>
                  </m:oMath>
                </m:oMathPara>
              </a14:m>
              <a:endParaRPr lang="en-US" sz="1400"/>
            </a:p>
          </xdr:txBody>
        </xdr:sp>
      </mc:Choice>
      <mc:Fallback xmlns="">
        <xdr:sp macro="" textlink="">
          <xdr:nvSpPr>
            <xdr:cNvPr id="3" name="Object 2">
              <a:extLst>
                <a:ext uri="{63B3BB69-23CF-44E3-9099-C40C66FF867C}">
                  <a14:compatExt xmlns:a14="http://schemas.microsoft.com/office/drawing/2010/main" spid="_x0000_s9218"/>
                </a:ext>
                <a:ext uri="{FF2B5EF4-FFF2-40B4-BE49-F238E27FC236}">
                  <a16:creationId xmlns:a16="http://schemas.microsoft.com/office/drawing/2014/main" id="{00000000-0008-0000-0000-000002240000}"/>
                </a:ext>
              </a:extLst>
            </xdr:cNvPr>
            <xdr:cNvSpPr txBox="1"/>
          </xdr:nvSpPr>
          <xdr:spPr>
            <a:xfrm>
              <a:off x="8705850" y="1606550"/>
              <a:ext cx="2874185" cy="664926"/>
            </a:xfrm>
            <a:prstGeom prst="rect">
              <a:avLst/>
            </a:prstGeom>
            <a:solidFill>
              <a:srgbClr val="92D050"/>
            </a:solidFill>
          </xdr:spPr>
          <xdr:txBody>
            <a:bodyPr vertOverflow="clip" horzOverflow="clip" wrap="none">
              <a:spAutoFit/>
            </a:bodyPr>
            <a:lstStyle/>
            <a:p>
              <a:pPr/>
              <a:r>
                <a:rPr lang="en-US" sz="1400" b="0" i="0">
                  <a:solidFill>
                    <a:srgbClr val="000000"/>
                  </a:solidFill>
                  <a:latin typeface="Cambria Math" panose="02040503050406030204" pitchFamily="18" charset="0"/>
                </a:rPr>
                <a:t>𝑧_</a:t>
              </a:r>
              <a:r>
                <a:rPr lang="en-US" sz="1400" i="0">
                  <a:solidFill>
                    <a:srgbClr val="000000"/>
                  </a:solidFill>
                  <a:latin typeface="Cambria Math" panose="02040503050406030204" pitchFamily="18" charset="0"/>
                </a:rPr>
                <a:t>𝑖=[((𝐶_𝑖+𝐹)/(𝑃_𝑖−𝐶_𝑖 ∑24_(𝑡=1)^(𝑖−1)▒𝑑_𝑡 ))^(1/𝑖)−1]×2</a:t>
              </a:r>
              <a:endParaRPr lang="en-US" sz="1400"/>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8</xdr:col>
      <xdr:colOff>714375</xdr:colOff>
      <xdr:row>0</xdr:row>
      <xdr:rowOff>95249</xdr:rowOff>
    </xdr:from>
    <xdr:to>
      <xdr:col>16</xdr:col>
      <xdr:colOff>66675</xdr:colOff>
      <xdr:row>22</xdr:row>
      <xdr:rowOff>142874</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1054100</xdr:colOff>
      <xdr:row>14</xdr:row>
      <xdr:rowOff>133350</xdr:rowOff>
    </xdr:from>
    <xdr:to>
      <xdr:col>8</xdr:col>
      <xdr:colOff>703580</xdr:colOff>
      <xdr:row>18</xdr:row>
      <xdr:rowOff>44450</xdr:rowOff>
    </xdr:to>
    <xdr:pic>
      <xdr:nvPicPr>
        <xdr:cNvPr id="5" name="Picture 4">
          <a:extLst>
            <a:ext uri="{FF2B5EF4-FFF2-40B4-BE49-F238E27FC236}">
              <a16:creationId xmlns:a16="http://schemas.microsoft.com/office/drawing/2014/main" id="{053F1399-1E3E-417C-97B9-C1F2D0FB1893}"/>
            </a:ext>
          </a:extLst>
        </xdr:cNvPr>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718050" y="2628900"/>
          <a:ext cx="3554730" cy="571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660399</xdr:colOff>
      <xdr:row>31</xdr:row>
      <xdr:rowOff>88900</xdr:rowOff>
    </xdr:from>
    <xdr:to>
      <xdr:col>4</xdr:col>
      <xdr:colOff>705188</xdr:colOff>
      <xdr:row>35</xdr:row>
      <xdr:rowOff>25400</xdr:rowOff>
    </xdr:to>
    <xdr:pic>
      <xdr:nvPicPr>
        <xdr:cNvPr id="6" name="Picture 5">
          <a:extLst>
            <a:ext uri="{FF2B5EF4-FFF2-40B4-BE49-F238E27FC236}">
              <a16:creationId xmlns:a16="http://schemas.microsoft.com/office/drawing/2014/main" id="{6A2D5F7E-B8C3-4DFD-9F6B-4342C55AA63B}"/>
            </a:ext>
          </a:extLst>
        </xdr:cNvPr>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660399" y="5391150"/>
          <a:ext cx="3708739" cy="596900"/>
        </a:xfrm>
        <a:prstGeom prst="rect">
          <a:avLst/>
        </a:prstGeom>
        <a:solidFill>
          <a:srgbClr val="FFFF00"/>
        </a:solidFill>
      </xdr:spPr>
    </xdr:pic>
    <xdr:clientData/>
  </xdr:twoCellAnchor>
  <xdr:twoCellAnchor>
    <xdr:from>
      <xdr:col>0</xdr:col>
      <xdr:colOff>692149</xdr:colOff>
      <xdr:row>36</xdr:row>
      <xdr:rowOff>0</xdr:rowOff>
    </xdr:from>
    <xdr:to>
      <xdr:col>3</xdr:col>
      <xdr:colOff>949044</xdr:colOff>
      <xdr:row>38</xdr:row>
      <xdr:rowOff>63500</xdr:rowOff>
    </xdr:to>
    <xdr:pic>
      <xdr:nvPicPr>
        <xdr:cNvPr id="7" name="Picture 6">
          <a:extLst>
            <a:ext uri="{FF2B5EF4-FFF2-40B4-BE49-F238E27FC236}">
              <a16:creationId xmlns:a16="http://schemas.microsoft.com/office/drawing/2014/main" id="{99165DA1-A15C-4432-B2A2-057151C68455}"/>
            </a:ext>
          </a:extLst>
        </xdr:cNvPr>
        <xdr:cNvPicPr>
          <a:picLocks noChangeAspect="1" noChangeArrowheads="1"/>
        </xdr:cNvPicPr>
      </xdr:nvPicPr>
      <xdr:blipFill>
        <a:blip xmlns:r="http://schemas.openxmlformats.org/officeDocument/2006/relationships" r:embed="rId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692149" y="6127750"/>
          <a:ext cx="2955645" cy="393700"/>
        </a:xfrm>
        <a:prstGeom prst="rect">
          <a:avLst/>
        </a:prstGeom>
        <a:solidFill>
          <a:srgbClr val="FFFF00"/>
        </a:solidFill>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116204</xdr:colOff>
      <xdr:row>9</xdr:row>
      <xdr:rowOff>140970</xdr:rowOff>
    </xdr:from>
    <xdr:to>
      <xdr:col>21</xdr:col>
      <xdr:colOff>106679</xdr:colOff>
      <xdr:row>34</xdr:row>
      <xdr:rowOff>68580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16</xdr:col>
      <xdr:colOff>7620</xdr:colOff>
      <xdr:row>20</xdr:row>
      <xdr:rowOff>30480</xdr:rowOff>
    </xdr:from>
    <xdr:to>
      <xdr:col>25</xdr:col>
      <xdr:colOff>350519</xdr:colOff>
      <xdr:row>47</xdr:row>
      <xdr:rowOff>22860</xdr:rowOff>
    </xdr:to>
    <xdr:graphicFrame macro="">
      <xdr:nvGraphicFramePr>
        <xdr:cNvPr id="4" name="Chart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0</xdr:colOff>
      <xdr:row>49</xdr:row>
      <xdr:rowOff>0</xdr:rowOff>
    </xdr:from>
    <xdr:to>
      <xdr:col>25</xdr:col>
      <xdr:colOff>342899</xdr:colOff>
      <xdr:row>77</xdr:row>
      <xdr:rowOff>22860</xdr:rowOff>
    </xdr:to>
    <xdr:graphicFrame macro="">
      <xdr:nvGraphicFramePr>
        <xdr:cNvPr id="3" name="Chart 2">
          <a:extLst>
            <a:ext uri="{FF2B5EF4-FFF2-40B4-BE49-F238E27FC236}">
              <a16:creationId xmlns:a16="http://schemas.microsoft.com/office/drawing/2014/main" id="{9A588C5D-A49A-4436-895F-92A9A88AF6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29"/>
  <sheetViews>
    <sheetView zoomScale="120" zoomScaleNormal="120" workbookViewId="0">
      <selection activeCell="D92" sqref="D92"/>
    </sheetView>
  </sheetViews>
  <sheetFormatPr defaultColWidth="9.140625" defaultRowHeight="12.75" x14ac:dyDescent="0.2"/>
  <cols>
    <col min="1" max="1" width="10.140625" style="4" customWidth="1"/>
    <col min="2" max="2" width="13.42578125" style="4" customWidth="1"/>
    <col min="3" max="3" width="15.5703125" style="4" customWidth="1"/>
    <col min="4" max="4" width="14.140625" style="4" customWidth="1"/>
    <col min="5" max="6" width="16.5703125" style="4" customWidth="1"/>
    <col min="7" max="7" width="15" style="4" customWidth="1"/>
    <col min="8" max="8" width="8.42578125" style="4" customWidth="1"/>
    <col min="9" max="9" width="16.5703125" style="4" customWidth="1"/>
    <col min="10" max="10" width="13.42578125" style="4" customWidth="1"/>
    <col min="11" max="16384" width="9.140625" style="4"/>
  </cols>
  <sheetData>
    <row r="1" spans="1:9" ht="18" x14ac:dyDescent="0.25">
      <c r="A1" s="7" t="s">
        <v>1</v>
      </c>
      <c r="B1" s="7"/>
      <c r="C1" s="8"/>
      <c r="D1" s="8"/>
      <c r="E1" s="8"/>
      <c r="F1" s="8"/>
    </row>
    <row r="2" spans="1:9" x14ac:dyDescent="0.2">
      <c r="A2" s="9"/>
      <c r="B2" s="9"/>
      <c r="C2" s="9"/>
      <c r="D2" s="9"/>
      <c r="E2" s="9"/>
      <c r="F2" s="9"/>
      <c r="G2" s="4" t="s">
        <v>2</v>
      </c>
      <c r="H2" s="4">
        <v>100</v>
      </c>
    </row>
    <row r="3" spans="1:9" x14ac:dyDescent="0.2">
      <c r="B3" s="3"/>
      <c r="C3" s="3"/>
    </row>
    <row r="4" spans="1:9" ht="18" customHeight="1" x14ac:dyDescent="0.2">
      <c r="A4" s="10" t="s">
        <v>3</v>
      </c>
      <c r="B4" s="10" t="s">
        <v>4</v>
      </c>
      <c r="C4" s="10" t="s">
        <v>5</v>
      </c>
      <c r="D4" s="10" t="s">
        <v>6</v>
      </c>
      <c r="E4" s="10" t="s">
        <v>7</v>
      </c>
      <c r="F4" s="10" t="s">
        <v>8</v>
      </c>
      <c r="G4" s="10" t="s">
        <v>9</v>
      </c>
      <c r="I4" s="10"/>
    </row>
    <row r="5" spans="1:9" x14ac:dyDescent="0.2">
      <c r="A5" s="11">
        <v>97.56</v>
      </c>
      <c r="B5" s="4">
        <v>0</v>
      </c>
      <c r="C5" s="10">
        <f>D5*2</f>
        <v>1</v>
      </c>
      <c r="D5" s="10">
        <v>0.5</v>
      </c>
      <c r="E5" s="10">
        <f t="shared" ref="E5:E6" si="0">B5/2</f>
        <v>0</v>
      </c>
      <c r="F5" s="12">
        <f>1/(1+G5/2)^C5</f>
        <v>0.97560000000000013</v>
      </c>
      <c r="G5" s="13">
        <f>((E5+H2)/A5-1)*2</f>
        <v>5.0020500205001817E-2</v>
      </c>
      <c r="I5" s="4" t="s">
        <v>10</v>
      </c>
    </row>
    <row r="6" spans="1:9" x14ac:dyDescent="0.2">
      <c r="A6" s="11">
        <v>100.48</v>
      </c>
      <c r="B6" s="4">
        <v>6.5</v>
      </c>
      <c r="C6" s="10">
        <f t="shared" ref="C6:C8" si="1">D6*2</f>
        <v>2</v>
      </c>
      <c r="D6" s="10">
        <f>D5+0.5</f>
        <v>1</v>
      </c>
      <c r="E6" s="10">
        <f t="shared" si="0"/>
        <v>3.25</v>
      </c>
      <c r="F6" s="12">
        <f>F5+(1/(1+G6/2)^C6)</f>
        <v>1.9180629539951577</v>
      </c>
      <c r="G6" s="13">
        <f>2*(((E6+H$2)/(A6-E6*F5))^(1/C6)-1)</f>
        <v>6.0145299040966105E-2</v>
      </c>
    </row>
    <row r="7" spans="1:9" x14ac:dyDescent="0.2">
      <c r="A7" s="11">
        <v>100.35</v>
      </c>
      <c r="B7" s="4">
        <v>7</v>
      </c>
      <c r="C7" s="10">
        <f t="shared" si="1"/>
        <v>3</v>
      </c>
      <c r="D7" s="10">
        <f t="shared" ref="D7:D8" si="2">D6+0.5</f>
        <v>1.5</v>
      </c>
      <c r="E7" s="10">
        <f>B7/2</f>
        <v>3.5</v>
      </c>
      <c r="F7" s="12">
        <f t="shared" ref="F7:F8" si="3">F6+(1/(1+G7/2)^C7)</f>
        <v>2.8227661391257559</v>
      </c>
      <c r="G7" s="13">
        <f t="shared" ref="G7" si="4">2*(((E7+H$2)/(A7-E7*F6))^(1/C7)-1)</f>
        <v>6.7892489576850235E-2</v>
      </c>
    </row>
    <row r="8" spans="1:9" x14ac:dyDescent="0.2">
      <c r="A8" s="11">
        <v>100.91</v>
      </c>
      <c r="B8" s="4">
        <v>8</v>
      </c>
      <c r="C8" s="10">
        <f t="shared" si="1"/>
        <v>4</v>
      </c>
      <c r="D8" s="10">
        <f t="shared" si="2"/>
        <v>2</v>
      </c>
      <c r="E8" s="10">
        <f t="shared" ref="E8" si="5">B8/2</f>
        <v>4</v>
      </c>
      <c r="F8" s="12">
        <f t="shared" si="3"/>
        <v>3.6844866722363037</v>
      </c>
      <c r="G8" s="13">
        <f>2*(((E8+H$2)/(A8-E8*F7))^(1/C8)-1)</f>
        <v>7.5813754533534006E-2</v>
      </c>
    </row>
    <row r="9" spans="1:9" x14ac:dyDescent="0.2">
      <c r="A9" s="10"/>
      <c r="C9" s="10"/>
      <c r="D9" s="10"/>
      <c r="E9" s="10"/>
      <c r="F9" s="12"/>
      <c r="G9" s="13"/>
    </row>
    <row r="10" spans="1:9" x14ac:dyDescent="0.2">
      <c r="A10" s="10"/>
      <c r="C10" s="10"/>
      <c r="D10" s="10"/>
      <c r="E10" s="10"/>
      <c r="F10" s="12"/>
      <c r="G10" s="13"/>
      <c r="I10" s="4" t="s">
        <v>11</v>
      </c>
    </row>
    <row r="11" spans="1:9" ht="13.5" thickBot="1" x14ac:dyDescent="0.25">
      <c r="E11" s="10"/>
      <c r="F11" s="12"/>
      <c r="G11" s="13"/>
    </row>
    <row r="12" spans="1:9" x14ac:dyDescent="0.2">
      <c r="A12" s="14"/>
      <c r="B12" s="15"/>
      <c r="C12" s="15"/>
      <c r="D12" s="16" t="s">
        <v>12</v>
      </c>
      <c r="E12" s="10"/>
      <c r="F12" s="12"/>
      <c r="G12" s="13"/>
    </row>
    <row r="13" spans="1:9" x14ac:dyDescent="0.2">
      <c r="A13" s="17" t="s">
        <v>13</v>
      </c>
      <c r="B13" s="18" t="s">
        <v>14</v>
      </c>
      <c r="C13" s="18"/>
      <c r="D13" s="19"/>
      <c r="E13" s="10"/>
      <c r="F13" s="12"/>
      <c r="G13" s="13"/>
    </row>
    <row r="14" spans="1:9" x14ac:dyDescent="0.2">
      <c r="A14" s="20"/>
      <c r="B14" s="18"/>
      <c r="C14" s="18"/>
      <c r="D14" s="19"/>
      <c r="E14" s="10"/>
      <c r="F14" s="12"/>
      <c r="G14" s="13"/>
    </row>
    <row r="15" spans="1:9" x14ac:dyDescent="0.2">
      <c r="A15" s="17" t="s">
        <v>15</v>
      </c>
      <c r="B15" s="18" t="s">
        <v>106</v>
      </c>
      <c r="C15" s="18"/>
      <c r="D15" s="19"/>
      <c r="E15" s="10"/>
      <c r="F15" s="12"/>
      <c r="G15" s="13"/>
    </row>
    <row r="16" spans="1:9" x14ac:dyDescent="0.2">
      <c r="A16" s="20"/>
      <c r="B16" s="18"/>
      <c r="C16" s="18"/>
      <c r="D16" s="19"/>
      <c r="E16" s="10"/>
      <c r="F16" s="12"/>
      <c r="G16" s="13"/>
    </row>
    <row r="17" spans="1:8" x14ac:dyDescent="0.2">
      <c r="A17" s="17" t="s">
        <v>16</v>
      </c>
      <c r="B17" s="18" t="s">
        <v>107</v>
      </c>
      <c r="C17" s="18"/>
      <c r="D17" s="19"/>
      <c r="E17" s="10"/>
      <c r="F17" s="12"/>
      <c r="G17" s="13"/>
    </row>
    <row r="18" spans="1:8" x14ac:dyDescent="0.2">
      <c r="A18" s="20"/>
      <c r="B18" s="18" t="s">
        <v>17</v>
      </c>
      <c r="C18" s="18"/>
      <c r="D18" s="19"/>
      <c r="E18" s="10"/>
      <c r="F18" s="12"/>
      <c r="G18" s="13"/>
    </row>
    <row r="19" spans="1:8" x14ac:dyDescent="0.2">
      <c r="A19" s="20"/>
      <c r="B19" s="18"/>
      <c r="C19" s="18"/>
      <c r="D19" s="19"/>
      <c r="E19" s="10"/>
      <c r="F19" s="12"/>
      <c r="G19" s="13"/>
    </row>
    <row r="20" spans="1:8" x14ac:dyDescent="0.2">
      <c r="A20" s="17" t="s">
        <v>18</v>
      </c>
      <c r="B20" s="18" t="s">
        <v>108</v>
      </c>
      <c r="C20" s="18"/>
      <c r="D20" s="19"/>
      <c r="E20" s="10"/>
      <c r="F20" s="12"/>
      <c r="G20" s="13"/>
    </row>
    <row r="21" spans="1:8" x14ac:dyDescent="0.2">
      <c r="A21" s="20"/>
      <c r="B21" s="18" t="s">
        <v>19</v>
      </c>
      <c r="C21" s="18"/>
      <c r="D21" s="19"/>
      <c r="E21" s="10"/>
      <c r="F21" s="12"/>
      <c r="G21" s="13"/>
    </row>
    <row r="22" spans="1:8" x14ac:dyDescent="0.2">
      <c r="A22" s="20"/>
      <c r="B22" s="18"/>
      <c r="C22" s="18"/>
      <c r="D22" s="19"/>
      <c r="E22" s="10"/>
      <c r="F22" s="12"/>
      <c r="G22" s="13"/>
    </row>
    <row r="23" spans="1:8" x14ac:dyDescent="0.2">
      <c r="A23" s="17" t="s">
        <v>20</v>
      </c>
      <c r="B23" s="18" t="s">
        <v>21</v>
      </c>
      <c r="C23" s="18"/>
      <c r="D23" s="19"/>
      <c r="E23" s="10"/>
      <c r="F23" s="12"/>
      <c r="G23" s="13"/>
    </row>
    <row r="24" spans="1:8" x14ac:dyDescent="0.2">
      <c r="A24" s="20"/>
      <c r="B24" s="18" t="s">
        <v>22</v>
      </c>
      <c r="C24" s="18"/>
      <c r="D24" s="19"/>
      <c r="E24" s="10"/>
      <c r="F24" s="12"/>
      <c r="G24" s="13"/>
    </row>
    <row r="25" spans="1:8" x14ac:dyDescent="0.2">
      <c r="A25" s="20"/>
      <c r="B25" s="18"/>
      <c r="C25" s="18"/>
      <c r="D25" s="19"/>
    </row>
    <row r="26" spans="1:8" x14ac:dyDescent="0.2">
      <c r="A26" s="20"/>
      <c r="B26" s="21" t="s">
        <v>23</v>
      </c>
      <c r="C26" s="18"/>
      <c r="D26" s="19"/>
      <c r="H26" s="4" t="s">
        <v>12</v>
      </c>
    </row>
    <row r="27" spans="1:8" x14ac:dyDescent="0.2">
      <c r="A27" s="20"/>
      <c r="B27" s="18"/>
      <c r="C27" s="18"/>
      <c r="D27" s="19"/>
    </row>
    <row r="28" spans="1:8" x14ac:dyDescent="0.2">
      <c r="A28" s="17" t="s">
        <v>24</v>
      </c>
      <c r="B28" s="18"/>
      <c r="C28" s="18"/>
      <c r="D28" s="19"/>
    </row>
    <row r="29" spans="1:8" ht="13.5" thickBot="1" x14ac:dyDescent="0.25">
      <c r="A29" s="22"/>
      <c r="B29" s="23"/>
      <c r="C29" s="23"/>
      <c r="D29" s="24"/>
    </row>
  </sheetData>
  <phoneticPr fontId="14" type="noConversion"/>
  <pageMargins left="0.75" right="0.75" top="1" bottom="1" header="0.5" footer="0.5"/>
  <pageSetup orientation="portrait" horizontalDpi="1200" verticalDpi="1200"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I37"/>
  <sheetViews>
    <sheetView zoomScale="120" zoomScaleNormal="120" workbookViewId="0">
      <selection activeCell="D92" sqref="D92"/>
    </sheetView>
  </sheetViews>
  <sheetFormatPr defaultColWidth="9.140625" defaultRowHeight="12.75" x14ac:dyDescent="0.2"/>
  <cols>
    <col min="1" max="1" width="10.140625" style="4" customWidth="1"/>
    <col min="2" max="2" width="13.42578125" style="4" customWidth="1"/>
    <col min="3" max="3" width="15.5703125" style="4" customWidth="1"/>
    <col min="4" max="4" width="14.140625" style="4" customWidth="1"/>
    <col min="5" max="6" width="16.5703125" style="4" customWidth="1"/>
    <col min="7" max="7" width="15" style="4" customWidth="1"/>
    <col min="8" max="8" width="8.42578125" style="4" customWidth="1"/>
    <col min="9" max="9" width="16.5703125" style="4" customWidth="1"/>
    <col min="10" max="10" width="13.42578125" style="4" customWidth="1"/>
    <col min="11" max="16384" width="9.140625" style="4"/>
  </cols>
  <sheetData>
    <row r="1" spans="1:9" ht="18" x14ac:dyDescent="0.25">
      <c r="A1" s="7" t="s">
        <v>25</v>
      </c>
      <c r="B1" s="7"/>
      <c r="C1" s="8"/>
      <c r="D1" s="8"/>
      <c r="E1" s="8"/>
      <c r="F1" s="8"/>
    </row>
    <row r="2" spans="1:9" x14ac:dyDescent="0.2">
      <c r="A2" s="9"/>
      <c r="B2" s="9"/>
      <c r="C2" s="9"/>
      <c r="D2" s="9"/>
      <c r="E2" s="9"/>
      <c r="F2" s="9"/>
      <c r="G2" s="4" t="s">
        <v>2</v>
      </c>
      <c r="H2" s="4">
        <v>100</v>
      </c>
    </row>
    <row r="3" spans="1:9" x14ac:dyDescent="0.2">
      <c r="B3" s="3"/>
      <c r="C3" s="3"/>
    </row>
    <row r="4" spans="1:9" ht="18" customHeight="1" x14ac:dyDescent="0.2">
      <c r="A4" s="10" t="s">
        <v>3</v>
      </c>
      <c r="B4" s="10" t="s">
        <v>4</v>
      </c>
      <c r="C4" s="10" t="s">
        <v>5</v>
      </c>
      <c r="D4" s="10" t="s">
        <v>6</v>
      </c>
      <c r="E4" s="10" t="s">
        <v>7</v>
      </c>
      <c r="F4" s="10" t="s">
        <v>8</v>
      </c>
      <c r="G4" s="10" t="s">
        <v>9</v>
      </c>
      <c r="I4" s="10"/>
    </row>
    <row r="5" spans="1:9" ht="18" customHeight="1" x14ac:dyDescent="0.2">
      <c r="A5" s="10"/>
      <c r="B5" s="10"/>
      <c r="C5" s="10"/>
      <c r="D5" s="10"/>
      <c r="E5" s="10"/>
      <c r="F5" s="10"/>
      <c r="G5" s="10"/>
      <c r="I5" s="10"/>
    </row>
    <row r="6" spans="1:9" x14ac:dyDescent="0.2">
      <c r="A6" s="10">
        <v>100</v>
      </c>
      <c r="B6" s="4">
        <v>5.25</v>
      </c>
      <c r="C6" s="10">
        <f>D6*2</f>
        <v>1</v>
      </c>
      <c r="D6" s="10">
        <v>0.5</v>
      </c>
      <c r="E6" s="10">
        <f t="shared" ref="E6:E7" si="0">B6/2</f>
        <v>2.625</v>
      </c>
      <c r="F6" s="12">
        <f>1/(1+G6/2)^C6</f>
        <v>0.97442143727161989</v>
      </c>
      <c r="G6" s="13">
        <f>((E6+H$2)/A6-1)*2</f>
        <v>5.2500000000000213E-2</v>
      </c>
    </row>
    <row r="7" spans="1:9" x14ac:dyDescent="0.2">
      <c r="A7" s="10">
        <v>100</v>
      </c>
      <c r="B7" s="4">
        <v>5.5</v>
      </c>
      <c r="C7" s="10">
        <f t="shared" ref="C7:C28" si="1">D7*2</f>
        <v>2</v>
      </c>
      <c r="D7" s="10">
        <f>D6+0.5</f>
        <v>1</v>
      </c>
      <c r="E7" s="10">
        <f t="shared" si="0"/>
        <v>2.75</v>
      </c>
      <c r="F7" s="12">
        <f>F6+(1/(1+G7/2)^C7)</f>
        <v>1.9215780411402628</v>
      </c>
      <c r="G7" s="13">
        <f>2*(((E7+H$2)/(A7-E7*F6))^(1/C7)-1)</f>
        <v>5.5034417734308949E-2</v>
      </c>
    </row>
    <row r="8" spans="1:9" x14ac:dyDescent="0.2">
      <c r="A8" s="10">
        <v>100</v>
      </c>
      <c r="B8" s="4">
        <v>5.75</v>
      </c>
      <c r="C8" s="10">
        <f t="shared" si="1"/>
        <v>3</v>
      </c>
      <c r="D8" s="10">
        <f t="shared" ref="D8:D15" si="2">D7+0.5</f>
        <v>1.5</v>
      </c>
      <c r="E8" s="10">
        <f>B8/2</f>
        <v>2.875</v>
      </c>
      <c r="F8" s="12">
        <f t="shared" ref="F8:F15" si="3">F7+(1/(1+G8/2)^C8)</f>
        <v>2.8399300521412032</v>
      </c>
      <c r="G8" s="13">
        <f t="shared" ref="G8:G15" si="4">2*(((E8+H$2)/(A8-E8*F7))^(1/C8)-1)</f>
        <v>5.7596765529686511E-2</v>
      </c>
    </row>
    <row r="9" spans="1:9" x14ac:dyDescent="0.2">
      <c r="A9" s="10">
        <v>100</v>
      </c>
      <c r="B9" s="4">
        <v>6</v>
      </c>
      <c r="C9" s="10">
        <f t="shared" si="1"/>
        <v>4</v>
      </c>
      <c r="D9" s="10">
        <f t="shared" si="2"/>
        <v>2</v>
      </c>
      <c r="E9" s="10">
        <f t="shared" ref="E9:E15" si="5">B9/2</f>
        <v>3</v>
      </c>
      <c r="F9" s="12">
        <f t="shared" si="3"/>
        <v>3.7280874292633044</v>
      </c>
      <c r="G9" s="13">
        <f>2*(((E9+H$2)/(A9-E9*F8))^(1/C9)-1)</f>
        <v>6.0191133728880075E-2</v>
      </c>
    </row>
    <row r="10" spans="1:9" x14ac:dyDescent="0.2">
      <c r="A10" s="10">
        <v>100</v>
      </c>
      <c r="B10" s="4">
        <v>6.25</v>
      </c>
      <c r="C10" s="10">
        <f t="shared" si="1"/>
        <v>5</v>
      </c>
      <c r="D10" s="10">
        <f t="shared" si="2"/>
        <v>2.5</v>
      </c>
      <c r="E10" s="10">
        <f t="shared" si="5"/>
        <v>3.125</v>
      </c>
      <c r="F10" s="12">
        <f t="shared" si="3"/>
        <v>4.5848120526189629</v>
      </c>
      <c r="G10" s="13">
        <f t="shared" si="4"/>
        <v>6.2821958686090085E-2</v>
      </c>
    </row>
    <row r="11" spans="1:9" x14ac:dyDescent="0.2">
      <c r="A11" s="10">
        <v>100</v>
      </c>
      <c r="B11" s="4">
        <v>6.5</v>
      </c>
      <c r="C11" s="10">
        <f t="shared" si="1"/>
        <v>6</v>
      </c>
      <c r="D11" s="10">
        <f t="shared" si="2"/>
        <v>3</v>
      </c>
      <c r="E11" s="10">
        <f t="shared" si="5"/>
        <v>3.25</v>
      </c>
      <c r="F11" s="12">
        <f t="shared" si="3"/>
        <v>5.409018937161223</v>
      </c>
      <c r="G11" s="13">
        <f t="shared" si="4"/>
        <v>6.5494086944738239E-2</v>
      </c>
    </row>
    <row r="12" spans="1:9" x14ac:dyDescent="0.2">
      <c r="A12" s="10">
        <v>100</v>
      </c>
      <c r="B12" s="4">
        <v>6.75</v>
      </c>
      <c r="C12" s="10">
        <f t="shared" si="1"/>
        <v>7</v>
      </c>
      <c r="D12" s="10">
        <f t="shared" si="2"/>
        <v>3.5</v>
      </c>
      <c r="E12" s="10">
        <f t="shared" si="5"/>
        <v>3.375</v>
      </c>
      <c r="F12" s="12">
        <f t="shared" si="3"/>
        <v>6.1997764809298408</v>
      </c>
      <c r="G12" s="13">
        <f t="shared" si="4"/>
        <v>6.821285076018091E-2</v>
      </c>
    </row>
    <row r="13" spans="1:9" x14ac:dyDescent="0.2">
      <c r="A13" s="10">
        <v>100</v>
      </c>
      <c r="B13" s="4">
        <v>6.9</v>
      </c>
      <c r="C13" s="10">
        <f t="shared" si="1"/>
        <v>8</v>
      </c>
      <c r="D13" s="10">
        <f t="shared" si="2"/>
        <v>4</v>
      </c>
      <c r="E13" s="10">
        <f t="shared" si="5"/>
        <v>3.45</v>
      </c>
      <c r="F13" s="12">
        <f t="shared" si="3"/>
        <v>6.9596679370998942</v>
      </c>
      <c r="G13" s="13">
        <f t="shared" si="4"/>
        <v>6.9836544503029785E-2</v>
      </c>
    </row>
    <row r="14" spans="1:9" x14ac:dyDescent="0.2">
      <c r="A14" s="10">
        <v>100</v>
      </c>
      <c r="B14" s="4">
        <v>7.0000000000000009</v>
      </c>
      <c r="C14" s="10">
        <f t="shared" si="1"/>
        <v>9</v>
      </c>
      <c r="D14" s="10">
        <f t="shared" si="2"/>
        <v>4.5</v>
      </c>
      <c r="E14" s="10">
        <f t="shared" si="5"/>
        <v>3.5000000000000004</v>
      </c>
      <c r="F14" s="12">
        <f t="shared" si="3"/>
        <v>7.6905004223187374</v>
      </c>
      <c r="G14" s="13">
        <f t="shared" si="4"/>
        <v>7.0910577807171471E-2</v>
      </c>
    </row>
    <row r="15" spans="1:9" x14ac:dyDescent="0.2">
      <c r="A15" s="10">
        <v>100</v>
      </c>
      <c r="B15" s="4">
        <v>7.1</v>
      </c>
      <c r="C15" s="10">
        <f t="shared" si="1"/>
        <v>10</v>
      </c>
      <c r="D15" s="10">
        <f t="shared" si="2"/>
        <v>5</v>
      </c>
      <c r="E15" s="10">
        <f t="shared" si="5"/>
        <v>3.55</v>
      </c>
      <c r="F15" s="12">
        <f t="shared" si="3"/>
        <v>8.3925643865946284</v>
      </c>
      <c r="G15" s="13">
        <f t="shared" si="4"/>
        <v>7.2012291872333378E-2</v>
      </c>
    </row>
    <row r="16" spans="1:9" x14ac:dyDescent="0.2">
      <c r="A16" s="10"/>
      <c r="C16" s="10"/>
      <c r="D16" s="10"/>
      <c r="E16" s="10"/>
      <c r="F16" s="12"/>
      <c r="G16" s="13"/>
    </row>
    <row r="17" spans="1:9" x14ac:dyDescent="0.2">
      <c r="A17" s="25" t="s">
        <v>26</v>
      </c>
      <c r="C17" s="10"/>
      <c r="D17" s="10"/>
      <c r="E17" s="10"/>
      <c r="F17"/>
      <c r="G17" s="13"/>
    </row>
    <row r="18" spans="1:9" x14ac:dyDescent="0.2">
      <c r="A18" s="10"/>
      <c r="C18" s="10"/>
      <c r="D18" s="10"/>
      <c r="E18" s="10"/>
      <c r="F18" s="12"/>
      <c r="G18" s="13"/>
    </row>
    <row r="19" spans="1:9" x14ac:dyDescent="0.2">
      <c r="A19" s="10">
        <v>100</v>
      </c>
      <c r="B19" s="4">
        <v>5.25</v>
      </c>
      <c r="C19" s="10">
        <f>D19*2</f>
        <v>1</v>
      </c>
      <c r="D19" s="10">
        <v>0.5</v>
      </c>
      <c r="E19" s="10">
        <f t="shared" ref="E19:E20" si="6">B19/2</f>
        <v>2.625</v>
      </c>
      <c r="F19" s="12">
        <f>1/(1+G19/2)^C19</f>
        <v>0.97442143727161989</v>
      </c>
      <c r="G19" s="13">
        <f>((E19+H$2)/A19-1)*2</f>
        <v>5.2500000000000213E-2</v>
      </c>
    </row>
    <row r="20" spans="1:9" x14ac:dyDescent="0.2">
      <c r="A20" s="10">
        <v>100</v>
      </c>
      <c r="B20" s="4">
        <v>5.5</v>
      </c>
      <c r="C20" s="10">
        <f t="shared" si="1"/>
        <v>2</v>
      </c>
      <c r="D20" s="10">
        <f>D19+0.5</f>
        <v>1</v>
      </c>
      <c r="E20" s="10">
        <f t="shared" si="6"/>
        <v>2.75</v>
      </c>
      <c r="F20" s="12">
        <f>F19+(1/(1+G20/2)^C20)</f>
        <v>1.9215780411402628</v>
      </c>
      <c r="G20" s="13">
        <f>2*(((E20+H$2)/(A20-E20*F19))^(1/C20)-1)</f>
        <v>5.5034417734308949E-2</v>
      </c>
    </row>
    <row r="21" spans="1:9" x14ac:dyDescent="0.2">
      <c r="A21" s="26"/>
      <c r="B21" s="6"/>
      <c r="C21" s="26">
        <f t="shared" si="1"/>
        <v>3</v>
      </c>
      <c r="D21" s="26">
        <f t="shared" ref="D21:D28" si="7">D20+0.5</f>
        <v>1.5</v>
      </c>
      <c r="E21" s="26"/>
      <c r="F21" s="27">
        <f t="shared" ref="F21:F28" si="8">F20+(1/(1+G21/2)^C21)</f>
        <v>2.8399088548938911</v>
      </c>
      <c r="G21" s="28">
        <f>G$20+(G$22-G$20)*(C21-C$20)/(C$22-C$20)</f>
        <v>5.7612596807941938E-2</v>
      </c>
    </row>
    <row r="22" spans="1:9" x14ac:dyDescent="0.2">
      <c r="A22" s="10">
        <v>100</v>
      </c>
      <c r="B22" s="4">
        <v>6</v>
      </c>
      <c r="C22" s="10">
        <f t="shared" si="1"/>
        <v>4</v>
      </c>
      <c r="D22" s="10">
        <f t="shared" si="7"/>
        <v>2</v>
      </c>
      <c r="E22" s="10">
        <f t="shared" ref="E22:E28" si="9">B22/2</f>
        <v>3</v>
      </c>
      <c r="F22" s="12">
        <f t="shared" si="8"/>
        <v>3.7280668490943918</v>
      </c>
      <c r="G22" s="13">
        <v>6.0190775881574926E-2</v>
      </c>
      <c r="H22" s="29">
        <f>E22*F22+H$2/(1+G22/2)^C22-A22</f>
        <v>-3.266677595092915E-8</v>
      </c>
      <c r="I22" s="30" t="s">
        <v>27</v>
      </c>
    </row>
    <row r="23" spans="1:9" x14ac:dyDescent="0.2">
      <c r="A23" s="26"/>
      <c r="B23" s="6"/>
      <c r="C23" s="26">
        <f t="shared" si="1"/>
        <v>5</v>
      </c>
      <c r="D23" s="26">
        <f t="shared" si="7"/>
        <v>2.5</v>
      </c>
      <c r="E23" s="26"/>
      <c r="F23" s="27">
        <f t="shared" si="8"/>
        <v>4.5847498061783387</v>
      </c>
      <c r="G23" s="28">
        <f>G$22+(G$24-G$22)*(C23-C$22)/(C$24-C$22)</f>
        <v>6.2842024085413464E-2</v>
      </c>
    </row>
    <row r="24" spans="1:9" x14ac:dyDescent="0.2">
      <c r="A24" s="10">
        <v>100</v>
      </c>
      <c r="B24" s="4">
        <v>6.5</v>
      </c>
      <c r="C24" s="10">
        <f t="shared" si="1"/>
        <v>6</v>
      </c>
      <c r="D24" s="10">
        <f t="shared" si="7"/>
        <v>3</v>
      </c>
      <c r="E24" s="10">
        <f t="shared" si="9"/>
        <v>3.25</v>
      </c>
      <c r="F24" s="12">
        <f t="shared" si="8"/>
        <v>5.4089586411854045</v>
      </c>
      <c r="G24" s="13">
        <v>6.5493272289252003E-2</v>
      </c>
      <c r="H24" s="29">
        <f>E24*F24+H$2/(1+G24/2)^C24-A24</f>
        <v>-9.1544086444628192E-7</v>
      </c>
      <c r="I24" s="30" t="s">
        <v>27</v>
      </c>
    </row>
    <row r="25" spans="1:9" x14ac:dyDescent="0.2">
      <c r="A25" s="26"/>
      <c r="B25" s="6"/>
      <c r="C25" s="26">
        <f t="shared" si="1"/>
        <v>7</v>
      </c>
      <c r="D25" s="26">
        <f t="shared" si="7"/>
        <v>3.5</v>
      </c>
      <c r="E25" s="26"/>
      <c r="F25" s="27">
        <f t="shared" si="8"/>
        <v>6.2025888423923492</v>
      </c>
      <c r="G25" s="28">
        <f>G$24+(G$28-G$24)*(C25-C$24)/(C$28-C$24)</f>
        <v>6.7141732198797835E-2</v>
      </c>
      <c r="H25" s="31"/>
    </row>
    <row r="26" spans="1:9" x14ac:dyDescent="0.2">
      <c r="A26" s="26"/>
      <c r="B26" s="6"/>
      <c r="C26" s="26">
        <f t="shared" si="1"/>
        <v>8</v>
      </c>
      <c r="D26" s="26">
        <f t="shared" si="7"/>
        <v>4</v>
      </c>
      <c r="E26" s="26"/>
      <c r="F26" s="27">
        <f t="shared" si="8"/>
        <v>6.9655604492989394</v>
      </c>
      <c r="G26" s="28">
        <f t="shared" ref="G26:G27" si="10">G$24+(G$28-G$24)*(C26-C$24)/(C$28-C$24)</f>
        <v>6.8790192108343667E-2</v>
      </c>
      <c r="H26" s="31"/>
    </row>
    <row r="27" spans="1:9" x14ac:dyDescent="0.2">
      <c r="A27" s="26"/>
      <c r="B27" s="6"/>
      <c r="C27" s="26">
        <f t="shared" si="1"/>
        <v>9</v>
      </c>
      <c r="D27" s="26">
        <f t="shared" si="7"/>
        <v>4.5</v>
      </c>
      <c r="E27" s="26"/>
      <c r="F27" s="27">
        <f t="shared" si="8"/>
        <v>7.6978935440156961</v>
      </c>
      <c r="G27" s="28">
        <f t="shared" si="10"/>
        <v>7.0438652017889486E-2</v>
      </c>
      <c r="H27" s="31"/>
    </row>
    <row r="28" spans="1:9" x14ac:dyDescent="0.2">
      <c r="A28" s="10">
        <v>100</v>
      </c>
      <c r="B28" s="4">
        <v>7.1</v>
      </c>
      <c r="C28" s="10">
        <f t="shared" si="1"/>
        <v>10</v>
      </c>
      <c r="D28" s="10">
        <f t="shared" si="7"/>
        <v>5</v>
      </c>
      <c r="E28" s="10">
        <f t="shared" si="9"/>
        <v>3.55</v>
      </c>
      <c r="F28" s="12">
        <f t="shared" si="8"/>
        <v>8.3997040443819753</v>
      </c>
      <c r="G28" s="13">
        <v>7.2087111927435318E-2</v>
      </c>
      <c r="H28" s="29">
        <f>E28*F28+H$2/(1+G28/2)^C28-A28</f>
        <v>-6.0581599825582089E-7</v>
      </c>
      <c r="I28" s="30" t="s">
        <v>27</v>
      </c>
    </row>
    <row r="29" spans="1:9" x14ac:dyDescent="0.2">
      <c r="A29" s="10"/>
      <c r="C29" s="10"/>
      <c r="D29" s="10"/>
      <c r="E29" s="10"/>
      <c r="F29" s="12"/>
      <c r="G29" s="13"/>
    </row>
    <row r="30" spans="1:9" x14ac:dyDescent="0.2">
      <c r="A30" s="10"/>
      <c r="C30" s="10"/>
      <c r="D30" s="10"/>
      <c r="E30" s="10"/>
      <c r="F30" s="12"/>
      <c r="G30" s="13"/>
    </row>
    <row r="31" spans="1:9" x14ac:dyDescent="0.2">
      <c r="A31" s="4" t="s">
        <v>28</v>
      </c>
      <c r="D31" s="10"/>
      <c r="E31" s="10"/>
      <c r="G31" s="13"/>
    </row>
    <row r="32" spans="1:9" x14ac:dyDescent="0.2">
      <c r="A32" s="10"/>
      <c r="C32" s="10"/>
      <c r="D32" s="10"/>
      <c r="E32" s="10"/>
      <c r="F32" s="12"/>
      <c r="G32" s="13"/>
    </row>
    <row r="33" spans="1:7" x14ac:dyDescent="0.2">
      <c r="A33" s="10"/>
      <c r="B33"/>
      <c r="C33" s="10"/>
      <c r="D33" s="10"/>
      <c r="E33" s="10"/>
      <c r="F33" s="12"/>
      <c r="G33" s="13"/>
    </row>
    <row r="36" spans="1:7" x14ac:dyDescent="0.2">
      <c r="A36" s="4" t="s">
        <v>29</v>
      </c>
    </row>
    <row r="37" spans="1:7" x14ac:dyDescent="0.2">
      <c r="B37"/>
    </row>
  </sheetData>
  <phoneticPr fontId="14" type="noConversion"/>
  <pageMargins left="0.75" right="0.75" top="1" bottom="1" header="0.5" footer="0.5"/>
  <pageSetup orientation="portrait" horizontalDpi="1200" verticalDpi="1200" r:id="rId1"/>
  <headerFooter alignWithMargins="0"/>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N65"/>
  <sheetViews>
    <sheetView zoomScale="109" workbookViewId="0">
      <selection activeCell="D92" sqref="D92"/>
    </sheetView>
  </sheetViews>
  <sheetFormatPr defaultColWidth="8.7109375" defaultRowHeight="12.75" x14ac:dyDescent="0.2"/>
  <cols>
    <col min="1" max="1" width="16.42578125" style="4" bestFit="1" customWidth="1"/>
    <col min="2" max="2" width="10" style="4" bestFit="1" customWidth="1"/>
    <col min="3" max="5" width="8.7109375" style="4"/>
    <col min="6" max="6" width="3.5703125" style="4" customWidth="1"/>
    <col min="7" max="16384" width="8.7109375" style="4"/>
  </cols>
  <sheetData>
    <row r="1" spans="1:14" x14ac:dyDescent="0.2">
      <c r="A1" s="3" t="s">
        <v>54</v>
      </c>
    </row>
    <row r="2" spans="1:14" x14ac:dyDescent="0.2">
      <c r="G2" s="43" t="s">
        <v>32</v>
      </c>
      <c r="H2" s="43" t="s">
        <v>40</v>
      </c>
      <c r="J2" s="44" t="s">
        <v>55</v>
      </c>
      <c r="K2" s="45"/>
      <c r="L2" s="45"/>
      <c r="M2" s="45"/>
      <c r="N2" s="45"/>
    </row>
    <row r="3" spans="1:14" x14ac:dyDescent="0.2">
      <c r="A3" s="46" t="s">
        <v>0</v>
      </c>
      <c r="B3" s="47">
        <v>40214</v>
      </c>
      <c r="G3" s="30"/>
      <c r="H3" s="30"/>
      <c r="J3" s="44"/>
      <c r="K3" s="45"/>
      <c r="L3" s="45"/>
      <c r="M3" s="45"/>
      <c r="N3" s="45"/>
    </row>
    <row r="4" spans="1:14" x14ac:dyDescent="0.2">
      <c r="A4" s="46" t="s">
        <v>33</v>
      </c>
      <c r="B4" s="48">
        <v>100</v>
      </c>
      <c r="G4" s="49">
        <v>0.24931506849315069</v>
      </c>
      <c r="H4" s="49">
        <v>1.5002820207405954E-3</v>
      </c>
      <c r="J4" s="44" t="s">
        <v>109</v>
      </c>
      <c r="K4" s="45"/>
      <c r="L4" s="45"/>
      <c r="M4" s="45"/>
      <c r="N4" s="45"/>
    </row>
    <row r="5" spans="1:14" x14ac:dyDescent="0.2">
      <c r="A5" s="46" t="s">
        <v>38</v>
      </c>
      <c r="B5" s="48">
        <v>2</v>
      </c>
      <c r="G5" s="49">
        <v>0.49863013698630138</v>
      </c>
      <c r="H5" s="49">
        <v>2.3000036219071873E-3</v>
      </c>
      <c r="J5" s="44" t="s">
        <v>56</v>
      </c>
      <c r="K5" s="45"/>
      <c r="L5" s="45"/>
      <c r="M5" s="45"/>
      <c r="N5" s="45"/>
    </row>
    <row r="6" spans="1:14" x14ac:dyDescent="0.2">
      <c r="A6" s="46" t="s">
        <v>57</v>
      </c>
      <c r="B6" s="48">
        <v>2.5</v>
      </c>
      <c r="G6" s="49">
        <v>1.0662983425414365</v>
      </c>
      <c r="H6" s="49">
        <v>8.47854472710745E-3</v>
      </c>
      <c r="J6" s="44" t="s">
        <v>44</v>
      </c>
      <c r="K6" s="45"/>
      <c r="L6" s="45"/>
      <c r="M6" s="45"/>
      <c r="N6" s="45"/>
    </row>
    <row r="7" spans="1:14" x14ac:dyDescent="0.2">
      <c r="A7" s="46" t="s">
        <v>58</v>
      </c>
      <c r="B7" s="50">
        <v>42156</v>
      </c>
      <c r="G7" s="49">
        <v>1.3186813186813187</v>
      </c>
      <c r="H7" s="49">
        <v>8.205872331697027E-3</v>
      </c>
      <c r="J7" s="44" t="s">
        <v>99</v>
      </c>
      <c r="K7" s="45"/>
      <c r="L7" s="45"/>
      <c r="M7" s="45"/>
      <c r="N7" s="45"/>
    </row>
    <row r="8" spans="1:14" x14ac:dyDescent="0.2">
      <c r="A8" s="3"/>
      <c r="G8" s="49">
        <v>1.5662983425414365</v>
      </c>
      <c r="H8" s="49">
        <v>9.706145333122921E-3</v>
      </c>
    </row>
    <row r="9" spans="1:14" x14ac:dyDescent="0.2">
      <c r="A9" s="3" t="s">
        <v>59</v>
      </c>
      <c r="B9" s="5">
        <f>COUPDAYBS($B$3,$B$7,$B$5,1)/COUPDAYS($B$3,$B$7,$B$5,1)</f>
        <v>0.36263736263736263</v>
      </c>
      <c r="G9" s="49">
        <v>2.3186813186813189</v>
      </c>
      <c r="H9" s="49">
        <v>1.4327696323998931E-2</v>
      </c>
    </row>
    <row r="10" spans="1:14" x14ac:dyDescent="0.2">
      <c r="A10" s="3" t="s">
        <v>60</v>
      </c>
      <c r="B10" s="51">
        <f>$B$9*$B$4*$B$6/100/$B$5</f>
        <v>0.4532967032967033</v>
      </c>
      <c r="G10" s="49">
        <v>3.3186813186813189</v>
      </c>
      <c r="H10" s="49">
        <v>1.9745926431623626E-2</v>
      </c>
    </row>
    <row r="11" spans="1:14" x14ac:dyDescent="0.2">
      <c r="A11" s="3" t="s">
        <v>61</v>
      </c>
      <c r="B11" s="4">
        <f>COUPNUM($B$3,$B$7,$B$5,1)</f>
        <v>11</v>
      </c>
      <c r="G11" s="49">
        <v>4.1049723756906076</v>
      </c>
      <c r="H11" s="49">
        <v>2.4130108327770086E-2</v>
      </c>
    </row>
    <row r="12" spans="1:14" x14ac:dyDescent="0.2">
      <c r="G12" s="49">
        <v>4.3186813186813184</v>
      </c>
      <c r="H12" s="49">
        <v>2.330542174421248E-2</v>
      </c>
    </row>
    <row r="13" spans="1:14" x14ac:dyDescent="0.2">
      <c r="G13" s="49">
        <v>5.3186813186813184</v>
      </c>
      <c r="H13" s="49">
        <v>2.605337626258776E-2</v>
      </c>
    </row>
    <row r="15" spans="1:14" x14ac:dyDescent="0.2">
      <c r="A15" s="33" t="s">
        <v>62</v>
      </c>
      <c r="B15" s="33" t="s">
        <v>63</v>
      </c>
      <c r="C15" s="33" t="s">
        <v>64</v>
      </c>
      <c r="D15" s="33" t="s">
        <v>40</v>
      </c>
      <c r="E15" s="33" t="s">
        <v>65</v>
      </c>
      <c r="G15" s="52" t="s">
        <v>37</v>
      </c>
      <c r="H15" s="52" t="s">
        <v>66</v>
      </c>
    </row>
    <row r="16" spans="1:14" x14ac:dyDescent="0.2">
      <c r="A16" s="4">
        <v>1</v>
      </c>
      <c r="B16" s="5">
        <f>IF($B$9&gt;0,(1-$B$9)/$B$5,1/$B$5)</f>
        <v>0.31868131868131866</v>
      </c>
      <c r="C16" s="4">
        <f t="shared" ref="C16:C65" si="0">IF($A16&gt;$B$11,"",IF($A16=$B$11,$B$4*(1+$B$6/100/$B$5),$B$4*$B$6/100/$B$5))</f>
        <v>1.25</v>
      </c>
      <c r="D16" s="5">
        <f t="shared" ref="D16:D26" si="1">PWLinear(B16,G$4:G$13,H$4:H$13)</f>
        <v>1.7227863763845789E-3</v>
      </c>
      <c r="E16" s="5">
        <f>IF($A16&gt;$B$11,"",$C16/(1+D16/$B$5)^($B16*$B$5))</f>
        <v>1.2493142088064566</v>
      </c>
      <c r="G16" s="53">
        <f>SUM(E16:E65)</f>
        <v>100.1432966680339</v>
      </c>
      <c r="H16" s="54">
        <f>G16-B10</f>
        <v>99.689999964737197</v>
      </c>
    </row>
    <row r="17" spans="1:5" x14ac:dyDescent="0.2">
      <c r="A17" s="4">
        <f>A16+1</f>
        <v>2</v>
      </c>
      <c r="B17" s="5">
        <f t="shared" ref="B17:B65" si="2">IF(A17&gt;$B$11,"",B16+1/$B$5)</f>
        <v>0.81868131868131866</v>
      </c>
      <c r="C17" s="4">
        <f t="shared" si="0"/>
        <v>1.25</v>
      </c>
      <c r="D17" s="5">
        <f t="shared" si="1"/>
        <v>5.7834634361428484E-3</v>
      </c>
      <c r="E17" s="5">
        <f t="shared" ref="E17:E26" si="3">IF($A17&gt;$B$11,"",$C17/(1+D17/$B$5)^($B17*$B$5))</f>
        <v>1.2441039732132215</v>
      </c>
    </row>
    <row r="18" spans="1:5" x14ac:dyDescent="0.2">
      <c r="A18" s="4">
        <f t="shared" ref="A18:A65" si="4">A17+1</f>
        <v>3</v>
      </c>
      <c r="B18" s="5">
        <f t="shared" si="2"/>
        <v>1.3186813186813187</v>
      </c>
      <c r="C18" s="4">
        <f t="shared" si="0"/>
        <v>1.25</v>
      </c>
      <c r="D18" s="5">
        <f t="shared" si="1"/>
        <v>8.205872331697027E-3</v>
      </c>
      <c r="E18" s="5">
        <f t="shared" si="3"/>
        <v>1.2365741316921131</v>
      </c>
    </row>
    <row r="19" spans="1:5" x14ac:dyDescent="0.2">
      <c r="A19" s="4">
        <f t="shared" si="4"/>
        <v>4</v>
      </c>
      <c r="B19" s="5">
        <f t="shared" si="2"/>
        <v>1.8186813186813187</v>
      </c>
      <c r="C19" s="4">
        <f t="shared" si="0"/>
        <v>1.25</v>
      </c>
      <c r="D19" s="5">
        <f t="shared" si="1"/>
        <v>1.1256420698793412E-2</v>
      </c>
      <c r="E19" s="5">
        <f t="shared" si="3"/>
        <v>1.2247406458876229</v>
      </c>
    </row>
    <row r="20" spans="1:5" x14ac:dyDescent="0.2">
      <c r="A20" s="4">
        <f t="shared" si="4"/>
        <v>5</v>
      </c>
      <c r="B20" s="5">
        <f t="shared" si="2"/>
        <v>2.3186813186813184</v>
      </c>
      <c r="C20" s="4">
        <f t="shared" si="0"/>
        <v>1.25</v>
      </c>
      <c r="D20" s="5">
        <f t="shared" si="1"/>
        <v>1.4327696323998929E-2</v>
      </c>
      <c r="E20" s="5">
        <f t="shared" si="3"/>
        <v>1.2092987191296263</v>
      </c>
    </row>
    <row r="21" spans="1:5" x14ac:dyDescent="0.2">
      <c r="A21" s="4">
        <f t="shared" si="4"/>
        <v>6</v>
      </c>
      <c r="B21" s="5">
        <f t="shared" si="2"/>
        <v>2.8186813186813184</v>
      </c>
      <c r="C21" s="4">
        <f t="shared" si="0"/>
        <v>1.25</v>
      </c>
      <c r="D21" s="5">
        <f t="shared" si="1"/>
        <v>1.7036811377811274E-2</v>
      </c>
      <c r="E21" s="5">
        <f t="shared" si="3"/>
        <v>1.1916341350333641</v>
      </c>
    </row>
    <row r="22" spans="1:5" x14ac:dyDescent="0.2">
      <c r="A22" s="4">
        <f t="shared" si="4"/>
        <v>7</v>
      </c>
      <c r="B22" s="5">
        <f t="shared" si="2"/>
        <v>3.3186813186813184</v>
      </c>
      <c r="C22" s="4">
        <f t="shared" si="0"/>
        <v>1.25</v>
      </c>
      <c r="D22" s="5">
        <f t="shared" si="1"/>
        <v>1.9745926431623623E-2</v>
      </c>
      <c r="E22" s="5">
        <f t="shared" si="3"/>
        <v>1.1710894745730649</v>
      </c>
    </row>
    <row r="23" spans="1:5" x14ac:dyDescent="0.2">
      <c r="A23" s="4">
        <f t="shared" si="4"/>
        <v>8</v>
      </c>
      <c r="B23" s="5">
        <f t="shared" si="2"/>
        <v>3.8186813186813184</v>
      </c>
      <c r="C23" s="4">
        <f t="shared" si="0"/>
        <v>1.25</v>
      </c>
      <c r="D23" s="5">
        <f t="shared" si="1"/>
        <v>2.2533813853885549E-2</v>
      </c>
      <c r="E23" s="5">
        <f t="shared" si="3"/>
        <v>1.1474880423280247</v>
      </c>
    </row>
    <row r="24" spans="1:5" x14ac:dyDescent="0.2">
      <c r="A24" s="4">
        <f t="shared" si="4"/>
        <v>9</v>
      </c>
      <c r="B24" s="5">
        <f t="shared" si="2"/>
        <v>4.3186813186813184</v>
      </c>
      <c r="C24" s="4">
        <f t="shared" si="0"/>
        <v>1.25</v>
      </c>
      <c r="D24" s="5">
        <f t="shared" si="1"/>
        <v>2.330542174421248E-2</v>
      </c>
      <c r="E24" s="5">
        <f t="shared" si="3"/>
        <v>1.1309712318027221</v>
      </c>
    </row>
    <row r="25" spans="1:5" x14ac:dyDescent="0.2">
      <c r="A25" s="4">
        <f t="shared" si="4"/>
        <v>10</v>
      </c>
      <c r="B25" s="5">
        <f t="shared" si="2"/>
        <v>4.8186813186813184</v>
      </c>
      <c r="C25" s="4">
        <f t="shared" si="0"/>
        <v>1.25</v>
      </c>
      <c r="D25" s="5">
        <f t="shared" si="1"/>
        <v>2.4679399003400118E-2</v>
      </c>
      <c r="E25" s="5">
        <f t="shared" si="3"/>
        <v>1.1106541249697541</v>
      </c>
    </row>
    <row r="26" spans="1:5" x14ac:dyDescent="0.2">
      <c r="A26" s="4">
        <f t="shared" si="4"/>
        <v>11</v>
      </c>
      <c r="B26" s="5">
        <f t="shared" si="2"/>
        <v>5.3186813186813184</v>
      </c>
      <c r="C26" s="4">
        <f t="shared" si="0"/>
        <v>101.25</v>
      </c>
      <c r="D26" s="5">
        <f t="shared" si="1"/>
        <v>2.605337626258776E-2</v>
      </c>
      <c r="E26" s="5">
        <f t="shared" si="3"/>
        <v>88.227427980597923</v>
      </c>
    </row>
    <row r="27" spans="1:5" x14ac:dyDescent="0.2">
      <c r="A27" s="4">
        <f t="shared" si="4"/>
        <v>12</v>
      </c>
      <c r="B27" s="5" t="str">
        <f t="shared" si="2"/>
        <v/>
      </c>
      <c r="C27" s="4" t="str">
        <f t="shared" si="0"/>
        <v/>
      </c>
      <c r="E27" s="5" t="str">
        <f t="shared" ref="E27:E65" si="5">IF($A27&gt;$B$11,"",$C27/(1+PWLinear($B27,$G$4:$G$13,$H$4:$H$13)/$B$5)^($B27*$B$5))</f>
        <v/>
      </c>
    </row>
    <row r="28" spans="1:5" x14ac:dyDescent="0.2">
      <c r="A28" s="4">
        <f t="shared" si="4"/>
        <v>13</v>
      </c>
      <c r="B28" s="5" t="str">
        <f t="shared" si="2"/>
        <v/>
      </c>
      <c r="C28" s="4" t="str">
        <f t="shared" si="0"/>
        <v/>
      </c>
      <c r="E28" s="5" t="str">
        <f t="shared" si="5"/>
        <v/>
      </c>
    </row>
    <row r="29" spans="1:5" x14ac:dyDescent="0.2">
      <c r="A29" s="4">
        <f t="shared" si="4"/>
        <v>14</v>
      </c>
      <c r="B29" s="5" t="str">
        <f t="shared" si="2"/>
        <v/>
      </c>
      <c r="C29" s="4" t="str">
        <f t="shared" si="0"/>
        <v/>
      </c>
      <c r="E29" s="5" t="str">
        <f t="shared" si="5"/>
        <v/>
      </c>
    </row>
    <row r="30" spans="1:5" x14ac:dyDescent="0.2">
      <c r="A30" s="4">
        <f t="shared" si="4"/>
        <v>15</v>
      </c>
      <c r="B30" s="5" t="str">
        <f t="shared" si="2"/>
        <v/>
      </c>
      <c r="C30" s="4" t="str">
        <f t="shared" si="0"/>
        <v/>
      </c>
      <c r="E30" s="5" t="str">
        <f t="shared" si="5"/>
        <v/>
      </c>
    </row>
    <row r="31" spans="1:5" x14ac:dyDescent="0.2">
      <c r="A31" s="4">
        <f t="shared" si="4"/>
        <v>16</v>
      </c>
      <c r="B31" s="5" t="str">
        <f t="shared" si="2"/>
        <v/>
      </c>
      <c r="C31" s="4" t="str">
        <f t="shared" si="0"/>
        <v/>
      </c>
      <c r="E31" s="5" t="str">
        <f t="shared" si="5"/>
        <v/>
      </c>
    </row>
    <row r="32" spans="1:5" x14ac:dyDescent="0.2">
      <c r="A32" s="4">
        <f t="shared" si="4"/>
        <v>17</v>
      </c>
      <c r="B32" s="5" t="str">
        <f t="shared" si="2"/>
        <v/>
      </c>
      <c r="C32" s="4" t="str">
        <f t="shared" si="0"/>
        <v/>
      </c>
      <c r="E32" s="5" t="str">
        <f t="shared" si="5"/>
        <v/>
      </c>
    </row>
    <row r="33" spans="1:5" x14ac:dyDescent="0.2">
      <c r="A33" s="4">
        <f t="shared" si="4"/>
        <v>18</v>
      </c>
      <c r="B33" s="5" t="str">
        <f t="shared" si="2"/>
        <v/>
      </c>
      <c r="C33" s="4" t="str">
        <f t="shared" si="0"/>
        <v/>
      </c>
      <c r="E33" s="5" t="str">
        <f t="shared" si="5"/>
        <v/>
      </c>
    </row>
    <row r="34" spans="1:5" x14ac:dyDescent="0.2">
      <c r="A34" s="4">
        <f t="shared" si="4"/>
        <v>19</v>
      </c>
      <c r="B34" s="5" t="str">
        <f t="shared" si="2"/>
        <v/>
      </c>
      <c r="C34" s="4" t="str">
        <f t="shared" si="0"/>
        <v/>
      </c>
      <c r="E34" s="5" t="str">
        <f t="shared" si="5"/>
        <v/>
      </c>
    </row>
    <row r="35" spans="1:5" x14ac:dyDescent="0.2">
      <c r="A35" s="4">
        <f t="shared" si="4"/>
        <v>20</v>
      </c>
      <c r="B35" s="5" t="str">
        <f t="shared" si="2"/>
        <v/>
      </c>
      <c r="C35" s="4" t="str">
        <f t="shared" si="0"/>
        <v/>
      </c>
      <c r="E35" s="5" t="str">
        <f t="shared" si="5"/>
        <v/>
      </c>
    </row>
    <row r="36" spans="1:5" x14ac:dyDescent="0.2">
      <c r="A36" s="4">
        <f t="shared" si="4"/>
        <v>21</v>
      </c>
      <c r="B36" s="5" t="str">
        <f t="shared" si="2"/>
        <v/>
      </c>
      <c r="C36" s="4" t="str">
        <f t="shared" si="0"/>
        <v/>
      </c>
      <c r="E36" s="5" t="str">
        <f t="shared" si="5"/>
        <v/>
      </c>
    </row>
    <row r="37" spans="1:5" x14ac:dyDescent="0.2">
      <c r="A37" s="4">
        <f t="shared" si="4"/>
        <v>22</v>
      </c>
      <c r="B37" s="5" t="str">
        <f t="shared" si="2"/>
        <v/>
      </c>
      <c r="C37" s="4" t="str">
        <f t="shared" si="0"/>
        <v/>
      </c>
      <c r="E37" s="5" t="str">
        <f t="shared" si="5"/>
        <v/>
      </c>
    </row>
    <row r="38" spans="1:5" x14ac:dyDescent="0.2">
      <c r="A38" s="4">
        <f t="shared" si="4"/>
        <v>23</v>
      </c>
      <c r="B38" s="5" t="str">
        <f t="shared" si="2"/>
        <v/>
      </c>
      <c r="C38" s="4" t="str">
        <f t="shared" si="0"/>
        <v/>
      </c>
      <c r="E38" s="5" t="str">
        <f t="shared" si="5"/>
        <v/>
      </c>
    </row>
    <row r="39" spans="1:5" x14ac:dyDescent="0.2">
      <c r="A39" s="4">
        <f t="shared" si="4"/>
        <v>24</v>
      </c>
      <c r="B39" s="5" t="str">
        <f t="shared" si="2"/>
        <v/>
      </c>
      <c r="C39" s="4" t="str">
        <f t="shared" si="0"/>
        <v/>
      </c>
      <c r="E39" s="5" t="str">
        <f t="shared" si="5"/>
        <v/>
      </c>
    </row>
    <row r="40" spans="1:5" x14ac:dyDescent="0.2">
      <c r="A40" s="4">
        <f t="shared" si="4"/>
        <v>25</v>
      </c>
      <c r="B40" s="5" t="str">
        <f t="shared" si="2"/>
        <v/>
      </c>
      <c r="C40" s="4" t="str">
        <f t="shared" si="0"/>
        <v/>
      </c>
      <c r="E40" s="5" t="str">
        <f t="shared" si="5"/>
        <v/>
      </c>
    </row>
    <row r="41" spans="1:5" x14ac:dyDescent="0.2">
      <c r="A41" s="4">
        <f t="shared" si="4"/>
        <v>26</v>
      </c>
      <c r="B41" s="5" t="str">
        <f t="shared" si="2"/>
        <v/>
      </c>
      <c r="C41" s="4" t="str">
        <f t="shared" si="0"/>
        <v/>
      </c>
      <c r="E41" s="5" t="str">
        <f t="shared" si="5"/>
        <v/>
      </c>
    </row>
    <row r="42" spans="1:5" x14ac:dyDescent="0.2">
      <c r="A42" s="4">
        <f t="shared" si="4"/>
        <v>27</v>
      </c>
      <c r="B42" s="5" t="str">
        <f t="shared" si="2"/>
        <v/>
      </c>
      <c r="C42" s="4" t="str">
        <f t="shared" si="0"/>
        <v/>
      </c>
      <c r="E42" s="5" t="str">
        <f t="shared" si="5"/>
        <v/>
      </c>
    </row>
    <row r="43" spans="1:5" x14ac:dyDescent="0.2">
      <c r="A43" s="4">
        <f t="shared" si="4"/>
        <v>28</v>
      </c>
      <c r="B43" s="5" t="str">
        <f t="shared" si="2"/>
        <v/>
      </c>
      <c r="C43" s="4" t="str">
        <f t="shared" si="0"/>
        <v/>
      </c>
      <c r="E43" s="5" t="str">
        <f t="shared" si="5"/>
        <v/>
      </c>
    </row>
    <row r="44" spans="1:5" x14ac:dyDescent="0.2">
      <c r="A44" s="4">
        <f t="shared" si="4"/>
        <v>29</v>
      </c>
      <c r="B44" s="5" t="str">
        <f t="shared" si="2"/>
        <v/>
      </c>
      <c r="C44" s="4" t="str">
        <f t="shared" si="0"/>
        <v/>
      </c>
      <c r="E44" s="5" t="str">
        <f t="shared" si="5"/>
        <v/>
      </c>
    </row>
    <row r="45" spans="1:5" x14ac:dyDescent="0.2">
      <c r="A45" s="4">
        <f t="shared" si="4"/>
        <v>30</v>
      </c>
      <c r="B45" s="5" t="str">
        <f t="shared" si="2"/>
        <v/>
      </c>
      <c r="C45" s="4" t="str">
        <f t="shared" si="0"/>
        <v/>
      </c>
      <c r="E45" s="5" t="str">
        <f t="shared" si="5"/>
        <v/>
      </c>
    </row>
    <row r="46" spans="1:5" x14ac:dyDescent="0.2">
      <c r="A46" s="4">
        <f t="shared" si="4"/>
        <v>31</v>
      </c>
      <c r="B46" s="5" t="str">
        <f t="shared" si="2"/>
        <v/>
      </c>
      <c r="C46" s="4" t="str">
        <f t="shared" si="0"/>
        <v/>
      </c>
      <c r="E46" s="5" t="str">
        <f t="shared" si="5"/>
        <v/>
      </c>
    </row>
    <row r="47" spans="1:5" x14ac:dyDescent="0.2">
      <c r="A47" s="4">
        <f t="shared" si="4"/>
        <v>32</v>
      </c>
      <c r="B47" s="5" t="str">
        <f t="shared" si="2"/>
        <v/>
      </c>
      <c r="C47" s="4" t="str">
        <f t="shared" si="0"/>
        <v/>
      </c>
      <c r="E47" s="5" t="str">
        <f t="shared" si="5"/>
        <v/>
      </c>
    </row>
    <row r="48" spans="1:5" x14ac:dyDescent="0.2">
      <c r="A48" s="4">
        <f t="shared" si="4"/>
        <v>33</v>
      </c>
      <c r="B48" s="5" t="str">
        <f t="shared" si="2"/>
        <v/>
      </c>
      <c r="C48" s="4" t="str">
        <f t="shared" si="0"/>
        <v/>
      </c>
      <c r="E48" s="5" t="str">
        <f t="shared" si="5"/>
        <v/>
      </c>
    </row>
    <row r="49" spans="1:5" x14ac:dyDescent="0.2">
      <c r="A49" s="4">
        <f t="shared" si="4"/>
        <v>34</v>
      </c>
      <c r="B49" s="5" t="str">
        <f t="shared" si="2"/>
        <v/>
      </c>
      <c r="C49" s="4" t="str">
        <f t="shared" si="0"/>
        <v/>
      </c>
      <c r="E49" s="5" t="str">
        <f t="shared" si="5"/>
        <v/>
      </c>
    </row>
    <row r="50" spans="1:5" x14ac:dyDescent="0.2">
      <c r="A50" s="4">
        <f t="shared" si="4"/>
        <v>35</v>
      </c>
      <c r="B50" s="5" t="str">
        <f t="shared" si="2"/>
        <v/>
      </c>
      <c r="C50" s="4" t="str">
        <f t="shared" si="0"/>
        <v/>
      </c>
      <c r="E50" s="5" t="str">
        <f t="shared" si="5"/>
        <v/>
      </c>
    </row>
    <row r="51" spans="1:5" x14ac:dyDescent="0.2">
      <c r="A51" s="4">
        <f t="shared" si="4"/>
        <v>36</v>
      </c>
      <c r="B51" s="5" t="str">
        <f t="shared" si="2"/>
        <v/>
      </c>
      <c r="C51" s="4" t="str">
        <f t="shared" si="0"/>
        <v/>
      </c>
      <c r="E51" s="5" t="str">
        <f t="shared" si="5"/>
        <v/>
      </c>
    </row>
    <row r="52" spans="1:5" x14ac:dyDescent="0.2">
      <c r="A52" s="4">
        <f t="shared" si="4"/>
        <v>37</v>
      </c>
      <c r="B52" s="5" t="str">
        <f t="shared" si="2"/>
        <v/>
      </c>
      <c r="C52" s="4" t="str">
        <f t="shared" si="0"/>
        <v/>
      </c>
      <c r="E52" s="5" t="str">
        <f t="shared" si="5"/>
        <v/>
      </c>
    </row>
    <row r="53" spans="1:5" x14ac:dyDescent="0.2">
      <c r="A53" s="4">
        <f t="shared" si="4"/>
        <v>38</v>
      </c>
      <c r="B53" s="5" t="str">
        <f t="shared" si="2"/>
        <v/>
      </c>
      <c r="C53" s="4" t="str">
        <f t="shared" si="0"/>
        <v/>
      </c>
      <c r="E53" s="5" t="str">
        <f t="shared" si="5"/>
        <v/>
      </c>
    </row>
    <row r="54" spans="1:5" x14ac:dyDescent="0.2">
      <c r="A54" s="4">
        <f t="shared" si="4"/>
        <v>39</v>
      </c>
      <c r="B54" s="5" t="str">
        <f t="shared" si="2"/>
        <v/>
      </c>
      <c r="C54" s="4" t="str">
        <f t="shared" si="0"/>
        <v/>
      </c>
      <c r="E54" s="5" t="str">
        <f t="shared" si="5"/>
        <v/>
      </c>
    </row>
    <row r="55" spans="1:5" x14ac:dyDescent="0.2">
      <c r="A55" s="4">
        <f t="shared" si="4"/>
        <v>40</v>
      </c>
      <c r="B55" s="5" t="str">
        <f t="shared" si="2"/>
        <v/>
      </c>
      <c r="C55" s="4" t="str">
        <f t="shared" si="0"/>
        <v/>
      </c>
      <c r="E55" s="5" t="str">
        <f t="shared" si="5"/>
        <v/>
      </c>
    </row>
    <row r="56" spans="1:5" x14ac:dyDescent="0.2">
      <c r="A56" s="4">
        <f t="shared" si="4"/>
        <v>41</v>
      </c>
      <c r="B56" s="5" t="str">
        <f t="shared" si="2"/>
        <v/>
      </c>
      <c r="C56" s="4" t="str">
        <f t="shared" si="0"/>
        <v/>
      </c>
      <c r="E56" s="5" t="str">
        <f t="shared" si="5"/>
        <v/>
      </c>
    </row>
    <row r="57" spans="1:5" x14ac:dyDescent="0.2">
      <c r="A57" s="4">
        <f t="shared" si="4"/>
        <v>42</v>
      </c>
      <c r="B57" s="5" t="str">
        <f t="shared" si="2"/>
        <v/>
      </c>
      <c r="C57" s="4" t="str">
        <f t="shared" si="0"/>
        <v/>
      </c>
      <c r="E57" s="5" t="str">
        <f t="shared" si="5"/>
        <v/>
      </c>
    </row>
    <row r="58" spans="1:5" x14ac:dyDescent="0.2">
      <c r="A58" s="4">
        <f t="shared" si="4"/>
        <v>43</v>
      </c>
      <c r="B58" s="5" t="str">
        <f t="shared" si="2"/>
        <v/>
      </c>
      <c r="C58" s="4" t="str">
        <f t="shared" si="0"/>
        <v/>
      </c>
      <c r="E58" s="5" t="str">
        <f t="shared" si="5"/>
        <v/>
      </c>
    </row>
    <row r="59" spans="1:5" x14ac:dyDescent="0.2">
      <c r="A59" s="4">
        <f t="shared" si="4"/>
        <v>44</v>
      </c>
      <c r="B59" s="5" t="str">
        <f t="shared" si="2"/>
        <v/>
      </c>
      <c r="C59" s="4" t="str">
        <f t="shared" si="0"/>
        <v/>
      </c>
      <c r="E59" s="5" t="str">
        <f t="shared" si="5"/>
        <v/>
      </c>
    </row>
    <row r="60" spans="1:5" x14ac:dyDescent="0.2">
      <c r="A60" s="4">
        <f t="shared" si="4"/>
        <v>45</v>
      </c>
      <c r="B60" s="5" t="str">
        <f t="shared" si="2"/>
        <v/>
      </c>
      <c r="C60" s="4" t="str">
        <f t="shared" si="0"/>
        <v/>
      </c>
      <c r="E60" s="5" t="str">
        <f t="shared" si="5"/>
        <v/>
      </c>
    </row>
    <row r="61" spans="1:5" x14ac:dyDescent="0.2">
      <c r="A61" s="4">
        <f t="shared" si="4"/>
        <v>46</v>
      </c>
      <c r="B61" s="5" t="str">
        <f t="shared" si="2"/>
        <v/>
      </c>
      <c r="C61" s="4" t="str">
        <f t="shared" si="0"/>
        <v/>
      </c>
      <c r="E61" s="5" t="str">
        <f t="shared" si="5"/>
        <v/>
      </c>
    </row>
    <row r="62" spans="1:5" x14ac:dyDescent="0.2">
      <c r="A62" s="4">
        <f t="shared" si="4"/>
        <v>47</v>
      </c>
      <c r="B62" s="5" t="str">
        <f t="shared" si="2"/>
        <v/>
      </c>
      <c r="C62" s="4" t="str">
        <f t="shared" si="0"/>
        <v/>
      </c>
      <c r="E62" s="5" t="str">
        <f t="shared" si="5"/>
        <v/>
      </c>
    </row>
    <row r="63" spans="1:5" x14ac:dyDescent="0.2">
      <c r="A63" s="4">
        <f t="shared" si="4"/>
        <v>48</v>
      </c>
      <c r="B63" s="5" t="str">
        <f t="shared" si="2"/>
        <v/>
      </c>
      <c r="C63" s="4" t="str">
        <f t="shared" si="0"/>
        <v/>
      </c>
      <c r="E63" s="5" t="str">
        <f t="shared" si="5"/>
        <v/>
      </c>
    </row>
    <row r="64" spans="1:5" x14ac:dyDescent="0.2">
      <c r="A64" s="4">
        <f t="shared" si="4"/>
        <v>49</v>
      </c>
      <c r="B64" s="5" t="str">
        <f t="shared" si="2"/>
        <v/>
      </c>
      <c r="C64" s="4" t="str">
        <f t="shared" si="0"/>
        <v/>
      </c>
      <c r="E64" s="5" t="str">
        <f t="shared" si="5"/>
        <v/>
      </c>
    </row>
    <row r="65" spans="1:5" x14ac:dyDescent="0.2">
      <c r="A65" s="4">
        <f t="shared" si="4"/>
        <v>50</v>
      </c>
      <c r="B65" s="5" t="str">
        <f t="shared" si="2"/>
        <v/>
      </c>
      <c r="C65" s="4" t="str">
        <f t="shared" si="0"/>
        <v/>
      </c>
      <c r="E65" s="5" t="str">
        <f t="shared" si="5"/>
        <v/>
      </c>
    </row>
  </sheetData>
  <phoneticPr fontId="14" type="noConversion"/>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S21"/>
  <sheetViews>
    <sheetView zoomScaleNormal="100" workbookViewId="0">
      <selection activeCell="D92" sqref="D92"/>
    </sheetView>
  </sheetViews>
  <sheetFormatPr defaultRowHeight="12.75" x14ac:dyDescent="0.2"/>
  <cols>
    <col min="2" max="2" width="11.140625" bestFit="1" customWidth="1"/>
    <col min="3" max="3" width="13.42578125" customWidth="1"/>
    <col min="6" max="6" width="3.5703125" customWidth="1"/>
    <col min="9" max="9" width="11.5703125" bestFit="1" customWidth="1"/>
  </cols>
  <sheetData>
    <row r="1" spans="1:19" x14ac:dyDescent="0.2">
      <c r="B1" s="2" t="s">
        <v>67</v>
      </c>
      <c r="M1" s="39" t="s">
        <v>110</v>
      </c>
      <c r="N1" s="40"/>
      <c r="O1" s="40"/>
      <c r="P1" s="40"/>
      <c r="Q1" s="40"/>
      <c r="R1" s="40"/>
      <c r="S1" s="40"/>
    </row>
    <row r="2" spans="1:19" x14ac:dyDescent="0.2">
      <c r="M2" s="39"/>
      <c r="N2" s="40"/>
      <c r="O2" s="40"/>
      <c r="P2" s="40"/>
      <c r="Q2" s="40"/>
      <c r="R2" s="40"/>
      <c r="S2" s="40"/>
    </row>
    <row r="3" spans="1:19" x14ac:dyDescent="0.2">
      <c r="B3" s="3" t="s">
        <v>0</v>
      </c>
      <c r="C3" s="32">
        <v>40214</v>
      </c>
      <c r="D3" s="4"/>
      <c r="E3" s="4"/>
      <c r="F3" s="4"/>
      <c r="G3" s="4"/>
      <c r="M3" s="39" t="s">
        <v>98</v>
      </c>
      <c r="N3" s="40"/>
      <c r="O3" s="40"/>
      <c r="P3" s="40"/>
      <c r="Q3" s="40"/>
      <c r="R3" s="40"/>
      <c r="S3" s="40"/>
    </row>
    <row r="4" spans="1:19" x14ac:dyDescent="0.2">
      <c r="B4" s="3" t="s">
        <v>33</v>
      </c>
      <c r="C4" s="4">
        <v>100</v>
      </c>
      <c r="D4" s="4"/>
      <c r="E4" s="4"/>
      <c r="F4" s="4"/>
      <c r="G4" s="4"/>
      <c r="M4" s="39" t="s">
        <v>41</v>
      </c>
      <c r="N4" s="40"/>
      <c r="O4" s="40"/>
      <c r="P4" s="40"/>
      <c r="Q4" s="40"/>
      <c r="R4" s="40"/>
      <c r="S4" s="40"/>
    </row>
    <row r="5" spans="1:19" x14ac:dyDescent="0.2">
      <c r="B5" s="3" t="s">
        <v>38</v>
      </c>
      <c r="C5" s="4">
        <v>2</v>
      </c>
      <c r="D5" s="4"/>
      <c r="E5" s="4"/>
      <c r="F5" s="4"/>
      <c r="G5" s="4"/>
      <c r="M5" s="39" t="s">
        <v>50</v>
      </c>
      <c r="N5" s="40"/>
      <c r="O5" s="40"/>
      <c r="P5" s="40"/>
      <c r="Q5" s="40"/>
      <c r="R5" s="40"/>
      <c r="S5" s="40"/>
    </row>
    <row r="6" spans="1:19" x14ac:dyDescent="0.2">
      <c r="B6" s="4"/>
      <c r="C6" s="4"/>
      <c r="D6" s="4"/>
      <c r="E6" s="4"/>
      <c r="F6" s="4"/>
      <c r="G6" s="4"/>
      <c r="M6" s="39" t="s">
        <v>42</v>
      </c>
      <c r="N6" s="40"/>
      <c r="O6" s="40"/>
      <c r="P6" s="40"/>
      <c r="Q6" s="40"/>
      <c r="R6" s="40"/>
      <c r="S6" s="40"/>
    </row>
    <row r="7" spans="1:19" x14ac:dyDescent="0.2">
      <c r="A7" s="38" t="s">
        <v>51</v>
      </c>
      <c r="B7" s="3" t="s">
        <v>30</v>
      </c>
      <c r="C7" s="3" t="s">
        <v>31</v>
      </c>
      <c r="D7" s="3" t="s">
        <v>35</v>
      </c>
      <c r="E7" s="3" t="s">
        <v>36</v>
      </c>
      <c r="F7" s="4"/>
      <c r="G7" s="3" t="s">
        <v>32</v>
      </c>
      <c r="H7" s="3" t="s">
        <v>37</v>
      </c>
      <c r="I7" s="3" t="s">
        <v>39</v>
      </c>
      <c r="J7" s="33" t="s">
        <v>34</v>
      </c>
      <c r="K7" s="3" t="s">
        <v>40</v>
      </c>
      <c r="M7" s="39" t="s">
        <v>43</v>
      </c>
      <c r="N7" s="40"/>
      <c r="O7" s="40"/>
      <c r="P7" s="40"/>
      <c r="Q7" s="40"/>
      <c r="R7" s="40"/>
      <c r="S7" s="40"/>
    </row>
    <row r="8" spans="1:19" x14ac:dyDescent="0.2">
      <c r="B8" s="4"/>
      <c r="C8" s="4"/>
      <c r="D8" s="4"/>
      <c r="E8" s="4"/>
      <c r="F8" s="4"/>
      <c r="G8" s="4"/>
      <c r="K8" s="4"/>
      <c r="M8" s="39" t="s">
        <v>44</v>
      </c>
      <c r="N8" s="40"/>
      <c r="O8" s="40"/>
      <c r="P8" s="40"/>
      <c r="Q8" s="40"/>
      <c r="R8" s="40"/>
      <c r="S8" s="40"/>
    </row>
    <row r="9" spans="1:19" x14ac:dyDescent="0.2">
      <c r="A9" s="2" t="s">
        <v>52</v>
      </c>
      <c r="B9" s="4">
        <v>0</v>
      </c>
      <c r="C9" s="4">
        <v>91</v>
      </c>
      <c r="D9" s="4"/>
      <c r="E9" s="4">
        <v>0.15</v>
      </c>
      <c r="F9" s="4"/>
      <c r="G9" s="5">
        <f>C9/365</f>
        <v>0.24931506849315069</v>
      </c>
      <c r="K9" s="36">
        <f>2*((1+E9/100*G9)^(1/(2*G9))-1)</f>
        <v>1.5002820207405954E-3</v>
      </c>
      <c r="M9" s="39" t="s">
        <v>99</v>
      </c>
      <c r="N9" s="40"/>
      <c r="O9" s="40"/>
      <c r="P9" s="40"/>
      <c r="Q9" s="40"/>
      <c r="R9" s="40"/>
      <c r="S9" s="40"/>
    </row>
    <row r="10" spans="1:19" x14ac:dyDescent="0.2">
      <c r="A10" s="2" t="s">
        <v>52</v>
      </c>
      <c r="B10" s="4">
        <v>0</v>
      </c>
      <c r="C10" s="4">
        <v>182</v>
      </c>
      <c r="D10" s="4"/>
      <c r="E10" s="4">
        <v>0.23</v>
      </c>
      <c r="F10" s="4"/>
      <c r="G10" s="5">
        <f>C10/365</f>
        <v>0.49863013698630138</v>
      </c>
      <c r="K10" s="36">
        <f>2*((1+E10/100*G10)^(1/(2*G10))-1)</f>
        <v>2.3000036219071873E-3</v>
      </c>
    </row>
    <row r="11" spans="1:19" x14ac:dyDescent="0.2">
      <c r="A11" s="2" t="s">
        <v>53</v>
      </c>
      <c r="B11" s="34">
        <v>6</v>
      </c>
      <c r="C11" s="35">
        <v>40695</v>
      </c>
      <c r="D11" s="34">
        <v>106.79</v>
      </c>
      <c r="E11" s="37">
        <v>0.77</v>
      </c>
      <c r="F11" s="4"/>
      <c r="G11" s="5">
        <f t="shared" ref="G11:G21" si="0">(COUPNUM($C$3,C11,$C$5,1)-COUPDAYBS($C$3,C11,$C$5,1)/COUPDAYS($C$3,C11,$C$5,1))/$C$5</f>
        <v>1.3186813186813187</v>
      </c>
      <c r="H11" s="1">
        <f>$D11+COUPDAYBS($C$3,$C11,$C$5,1)/COUPDAYS($C$3,$C11,$C$5,1)*$B11/100/$C$5*$C$4</f>
        <v>107.87791208791209</v>
      </c>
      <c r="I11" s="1">
        <f>Bond_ZeroRates($C$4,$G11,$B11/100,$C$5,$G$9:$G$21,$K$9:$K$21)</f>
        <v>107.87791208286728</v>
      </c>
      <c r="J11" s="56">
        <f t="shared" ref="J11:J21" si="1">I11-H11</f>
        <v>-5.0448107913325657E-9</v>
      </c>
      <c r="K11" s="42">
        <v>8.2272035712298471E-3</v>
      </c>
    </row>
    <row r="12" spans="1:19" x14ac:dyDescent="0.2">
      <c r="A12" s="2" t="s">
        <v>53</v>
      </c>
      <c r="B12" s="34">
        <v>3.75</v>
      </c>
      <c r="C12" s="35">
        <v>41061</v>
      </c>
      <c r="D12" s="34">
        <v>105.31</v>
      </c>
      <c r="E12" s="37">
        <v>1.4</v>
      </c>
      <c r="F12" s="4"/>
      <c r="G12" s="5">
        <f t="shared" si="0"/>
        <v>2.3186813186813189</v>
      </c>
      <c r="H12" s="1">
        <f t="shared" ref="H12:H21" si="2">$D12+COUPDAYBS($C$3,$C12,$C$5,1)/COUPDAYS($C$3,$C12,$C$5,1)*$B12/100/$C$5*$C$4</f>
        <v>105.98994505494505</v>
      </c>
      <c r="I12" s="1">
        <f t="shared" ref="I12:I21" si="3">Bond_ZeroRates($C$4,$G12,$B12/100,$C$5,$G$9:$G$21,$K$9:$K$21)</f>
        <v>105.98994514403333</v>
      </c>
      <c r="J12" s="56">
        <f t="shared" si="1"/>
        <v>8.9088274535242817E-8</v>
      </c>
      <c r="K12" s="42">
        <v>1.4334968368852466E-2</v>
      </c>
    </row>
    <row r="13" spans="1:19" x14ac:dyDescent="0.2">
      <c r="A13" s="2" t="s">
        <v>53</v>
      </c>
      <c r="B13" s="34">
        <v>3.5</v>
      </c>
      <c r="C13" s="35">
        <v>41426</v>
      </c>
      <c r="D13" s="34">
        <v>104.99</v>
      </c>
      <c r="E13" s="37">
        <v>1.93</v>
      </c>
      <c r="F13" s="4"/>
      <c r="G13" s="5">
        <f t="shared" si="0"/>
        <v>3.3186813186813189</v>
      </c>
      <c r="H13" s="1">
        <f t="shared" si="2"/>
        <v>105.62461538461538</v>
      </c>
      <c r="I13" s="1">
        <f t="shared" si="3"/>
        <v>105.6246152779362</v>
      </c>
      <c r="J13" s="56">
        <f t="shared" si="1"/>
        <v>-1.0667918104445562E-7</v>
      </c>
      <c r="K13" s="42">
        <v>1.9750663158380807E-2</v>
      </c>
    </row>
    <row r="14" spans="1:19" x14ac:dyDescent="0.2">
      <c r="A14" s="2" t="s">
        <v>53</v>
      </c>
      <c r="B14" s="34">
        <v>2.5</v>
      </c>
      <c r="C14" s="35">
        <v>42156</v>
      </c>
      <c r="D14" s="34">
        <v>99.69</v>
      </c>
      <c r="E14" s="37">
        <v>2.56</v>
      </c>
      <c r="F14" s="4"/>
      <c r="G14" s="5">
        <f t="shared" si="0"/>
        <v>5.3186813186813184</v>
      </c>
      <c r="H14" s="1">
        <f t="shared" si="2"/>
        <v>100.1432967032967</v>
      </c>
      <c r="I14" s="1">
        <f t="shared" si="3"/>
        <v>100.14329667430655</v>
      </c>
      <c r="J14" s="56">
        <f t="shared" si="1"/>
        <v>-2.8990143619012088E-8</v>
      </c>
      <c r="K14" s="42">
        <v>2.6073142931933434E-2</v>
      </c>
    </row>
    <row r="15" spans="1:19" x14ac:dyDescent="0.2">
      <c r="A15" s="2" t="s">
        <v>53</v>
      </c>
      <c r="B15" s="34">
        <v>4</v>
      </c>
      <c r="C15" s="35">
        <v>42887</v>
      </c>
      <c r="D15" s="34">
        <v>106.53</v>
      </c>
      <c r="E15" s="37">
        <v>3</v>
      </c>
      <c r="F15" s="4"/>
      <c r="G15" s="5">
        <f t="shared" si="0"/>
        <v>7.3186813186813184</v>
      </c>
      <c r="H15" s="1">
        <f t="shared" si="2"/>
        <v>107.25527472527473</v>
      </c>
      <c r="I15" s="1">
        <f t="shared" si="3"/>
        <v>107.25527446463403</v>
      </c>
      <c r="J15" s="56">
        <f t="shared" si="1"/>
        <v>-2.6064070368647663E-7</v>
      </c>
      <c r="K15" s="42">
        <v>3.103303918882263E-2</v>
      </c>
    </row>
    <row r="16" spans="1:19" x14ac:dyDescent="0.2">
      <c r="A16" s="2" t="s">
        <v>53</v>
      </c>
      <c r="B16" s="34">
        <v>3.5</v>
      </c>
      <c r="C16" s="35">
        <v>43983</v>
      </c>
      <c r="D16" s="34">
        <v>99.9</v>
      </c>
      <c r="E16" s="37">
        <v>3.51</v>
      </c>
      <c r="F16" s="4"/>
      <c r="G16" s="5">
        <f t="shared" si="0"/>
        <v>10.318681318681319</v>
      </c>
      <c r="H16" s="1">
        <f t="shared" si="2"/>
        <v>100.53461538461539</v>
      </c>
      <c r="I16" s="1">
        <f t="shared" si="3"/>
        <v>100.53461538404875</v>
      </c>
      <c r="J16" s="56">
        <f t="shared" si="1"/>
        <v>-5.666436209139647E-10</v>
      </c>
      <c r="K16" s="42">
        <v>3.6548664382743734E-2</v>
      </c>
    </row>
    <row r="17" spans="1:11" x14ac:dyDescent="0.2">
      <c r="A17" s="2" t="s">
        <v>53</v>
      </c>
      <c r="B17" s="34">
        <v>9</v>
      </c>
      <c r="C17" s="35">
        <v>45809</v>
      </c>
      <c r="D17" s="34">
        <v>158.09</v>
      </c>
      <c r="E17" s="37">
        <v>3.92</v>
      </c>
      <c r="F17" s="4"/>
      <c r="G17" s="5">
        <f t="shared" si="0"/>
        <v>15.318681318681319</v>
      </c>
      <c r="H17" s="1">
        <f t="shared" si="2"/>
        <v>159.72186813186815</v>
      </c>
      <c r="I17" s="1">
        <f t="shared" si="3"/>
        <v>159.72186809942309</v>
      </c>
      <c r="J17" s="56">
        <f t="shared" si="1"/>
        <v>-3.2445058195662568E-8</v>
      </c>
      <c r="K17" s="42">
        <v>4.3783174005260272E-2</v>
      </c>
    </row>
    <row r="18" spans="1:11" x14ac:dyDescent="0.2">
      <c r="A18" s="2" t="s">
        <v>53</v>
      </c>
      <c r="B18" s="34">
        <v>5.75</v>
      </c>
      <c r="C18" s="35">
        <v>47270</v>
      </c>
      <c r="D18" s="34">
        <v>122.96</v>
      </c>
      <c r="E18" s="37">
        <v>4.03</v>
      </c>
      <c r="F18" s="4"/>
      <c r="G18" s="5">
        <f t="shared" si="0"/>
        <v>19.318681318681318</v>
      </c>
      <c r="H18" s="1">
        <f t="shared" si="2"/>
        <v>124.00258241758242</v>
      </c>
      <c r="I18" s="1">
        <f t="shared" si="3"/>
        <v>124.00258240630831</v>
      </c>
      <c r="J18" s="56">
        <f t="shared" si="1"/>
        <v>-1.1274110534031934E-8</v>
      </c>
      <c r="K18" s="42">
        <v>4.2932520443761869E-2</v>
      </c>
    </row>
    <row r="19" spans="1:11" x14ac:dyDescent="0.2">
      <c r="A19" s="2" t="s">
        <v>53</v>
      </c>
      <c r="B19" s="34">
        <v>5.75</v>
      </c>
      <c r="C19" s="35">
        <v>48731</v>
      </c>
      <c r="D19" s="34">
        <v>125.27</v>
      </c>
      <c r="E19" s="37">
        <v>4.0599999999999996</v>
      </c>
      <c r="F19" s="4"/>
      <c r="G19" s="5">
        <f t="shared" si="0"/>
        <v>23.318681318681318</v>
      </c>
      <c r="H19" s="1">
        <f t="shared" si="2"/>
        <v>126.31258241758242</v>
      </c>
      <c r="I19" s="1">
        <f t="shared" si="3"/>
        <v>126.31258240797439</v>
      </c>
      <c r="J19" s="56">
        <f t="shared" si="1"/>
        <v>-9.6080299272216507E-9</v>
      </c>
      <c r="K19" s="42">
        <v>4.2957362470663653E-2</v>
      </c>
    </row>
    <row r="20" spans="1:11" x14ac:dyDescent="0.2">
      <c r="A20" s="2" t="s">
        <v>53</v>
      </c>
      <c r="B20" s="34">
        <v>5</v>
      </c>
      <c r="C20" s="35">
        <v>50192</v>
      </c>
      <c r="D20" s="34">
        <v>116.55</v>
      </c>
      <c r="E20" s="37">
        <v>4</v>
      </c>
      <c r="F20" s="4"/>
      <c r="G20" s="5">
        <f t="shared" si="0"/>
        <v>27.318681318681318</v>
      </c>
      <c r="H20" s="1">
        <f t="shared" si="2"/>
        <v>117.4565934065934</v>
      </c>
      <c r="I20" s="1">
        <f t="shared" si="3"/>
        <v>117.45659340239843</v>
      </c>
      <c r="J20" s="56">
        <f t="shared" si="1"/>
        <v>-4.1949732576540555E-9</v>
      </c>
      <c r="K20" s="42">
        <v>4.1046523202330945E-2</v>
      </c>
    </row>
    <row r="21" spans="1:11" x14ac:dyDescent="0.2">
      <c r="A21" s="2" t="s">
        <v>53</v>
      </c>
      <c r="B21" s="34">
        <v>4</v>
      </c>
      <c r="C21" s="35">
        <v>51653</v>
      </c>
      <c r="D21" s="34">
        <v>100.24</v>
      </c>
      <c r="E21" s="37">
        <v>3.99</v>
      </c>
      <c r="F21" s="4"/>
      <c r="G21" s="5">
        <f t="shared" si="0"/>
        <v>31.318681318681318</v>
      </c>
      <c r="H21" s="1">
        <f t="shared" si="2"/>
        <v>100.96527472527472</v>
      </c>
      <c r="I21" s="1">
        <f t="shared" si="3"/>
        <v>100.9652740780559</v>
      </c>
      <c r="J21" s="56">
        <f t="shared" si="1"/>
        <v>-6.4721882608864689E-7</v>
      </c>
      <c r="K21" s="42">
        <v>4.0481139065995111E-2</v>
      </c>
    </row>
  </sheetData>
  <phoneticPr fontId="14"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D2A9B-162D-443F-A109-14FAD0D51309}">
  <sheetPr codeName="Sheet7"/>
  <dimension ref="A1:Z128"/>
  <sheetViews>
    <sheetView workbookViewId="0">
      <selection activeCell="D92" sqref="D92"/>
    </sheetView>
  </sheetViews>
  <sheetFormatPr defaultColWidth="9.140625" defaultRowHeight="12.75" x14ac:dyDescent="0.2"/>
  <cols>
    <col min="1" max="1" width="4.5703125" style="4" customWidth="1"/>
    <col min="2" max="2" width="11.140625" style="4" bestFit="1" customWidth="1"/>
    <col min="3" max="5" width="9.140625" style="4"/>
    <col min="6" max="6" width="3.5703125" style="4" customWidth="1"/>
    <col min="7" max="8" width="9.140625" style="4"/>
    <col min="9" max="9" width="12.140625" style="4" customWidth="1"/>
    <col min="10" max="10" width="3.5703125" style="4" customWidth="1"/>
    <col min="11" max="11" width="9.140625" style="4"/>
    <col min="12" max="12" width="13.140625" style="41" bestFit="1" customWidth="1"/>
    <col min="13" max="15" width="12.42578125" style="4" customWidth="1"/>
    <col min="16" max="16" width="3.5703125" style="4" customWidth="1"/>
    <col min="17" max="17" width="9.140625" style="3"/>
    <col min="18" max="16384" width="9.140625" style="4"/>
  </cols>
  <sheetData>
    <row r="1" spans="1:26" x14ac:dyDescent="0.2">
      <c r="B1" s="3" t="s">
        <v>46</v>
      </c>
      <c r="K1" s="41"/>
      <c r="Q1" s="3" t="s">
        <v>96</v>
      </c>
    </row>
    <row r="2" spans="1:26" x14ac:dyDescent="0.2">
      <c r="K2" s="41"/>
    </row>
    <row r="3" spans="1:26" x14ac:dyDescent="0.2">
      <c r="B3" s="3" t="s">
        <v>0</v>
      </c>
      <c r="C3" s="32">
        <v>40214</v>
      </c>
      <c r="K3" s="41"/>
      <c r="Q3" s="46" t="s">
        <v>100</v>
      </c>
      <c r="R3" s="48"/>
      <c r="S3" s="48"/>
      <c r="T3" s="48"/>
      <c r="U3" s="48"/>
      <c r="V3" s="48"/>
      <c r="W3" s="48"/>
      <c r="X3" s="48"/>
      <c r="Y3" s="48"/>
      <c r="Z3" s="48"/>
    </row>
    <row r="4" spans="1:26" x14ac:dyDescent="0.2">
      <c r="B4" s="3" t="s">
        <v>33</v>
      </c>
      <c r="C4" s="4">
        <v>100</v>
      </c>
      <c r="K4" s="41"/>
      <c r="Q4" s="46" t="s">
        <v>71</v>
      </c>
      <c r="R4" s="48"/>
      <c r="S4" s="48"/>
      <c r="T4" s="48"/>
      <c r="U4" s="48"/>
      <c r="V4" s="48"/>
      <c r="W4" s="48"/>
      <c r="X4" s="48"/>
      <c r="Y4" s="48"/>
      <c r="Z4" s="48"/>
    </row>
    <row r="5" spans="1:26" x14ac:dyDescent="0.2">
      <c r="B5" s="3" t="s">
        <v>47</v>
      </c>
      <c r="C5" s="4">
        <v>2</v>
      </c>
      <c r="K5" s="41"/>
      <c r="Q5" s="46" t="s">
        <v>70</v>
      </c>
      <c r="R5" s="48"/>
      <c r="S5" s="48"/>
      <c r="T5" s="48"/>
      <c r="U5" s="48"/>
      <c r="V5" s="48"/>
      <c r="W5" s="48"/>
      <c r="X5" s="48"/>
      <c r="Y5" s="48"/>
      <c r="Z5" s="48"/>
    </row>
    <row r="6" spans="1:26" x14ac:dyDescent="0.2">
      <c r="H6" s="33" t="s">
        <v>48</v>
      </c>
      <c r="I6" s="33" t="s">
        <v>49</v>
      </c>
      <c r="L6" s="115" t="s">
        <v>113</v>
      </c>
      <c r="M6" s="115"/>
      <c r="N6" s="114" t="s">
        <v>112</v>
      </c>
      <c r="O6" s="114"/>
      <c r="Q6" s="46" t="s">
        <v>101</v>
      </c>
      <c r="R6" s="48"/>
      <c r="S6" s="48"/>
      <c r="T6" s="48"/>
      <c r="U6" s="48"/>
      <c r="V6" s="48"/>
      <c r="W6" s="48"/>
      <c r="X6" s="48"/>
      <c r="Y6" s="48"/>
      <c r="Z6" s="48"/>
    </row>
    <row r="7" spans="1:26" s="33" customFormat="1" x14ac:dyDescent="0.2">
      <c r="B7" s="33" t="s">
        <v>30</v>
      </c>
      <c r="C7" s="33" t="s">
        <v>31</v>
      </c>
      <c r="D7" s="33" t="s">
        <v>35</v>
      </c>
      <c r="E7" s="33" t="s">
        <v>36</v>
      </c>
      <c r="G7" s="33" t="s">
        <v>32</v>
      </c>
      <c r="H7" s="33" t="s">
        <v>40</v>
      </c>
      <c r="I7" s="33" t="s">
        <v>111</v>
      </c>
      <c r="K7" s="33" t="s">
        <v>32</v>
      </c>
      <c r="L7" s="72" t="s">
        <v>48</v>
      </c>
      <c r="M7" s="61" t="s">
        <v>68</v>
      </c>
      <c r="N7" s="73" t="s">
        <v>48</v>
      </c>
      <c r="O7" s="52" t="s">
        <v>68</v>
      </c>
      <c r="Q7" s="60" t="s">
        <v>102</v>
      </c>
      <c r="R7" s="61"/>
      <c r="S7" s="61"/>
      <c r="T7" s="61"/>
      <c r="U7" s="61"/>
      <c r="V7" s="61"/>
      <c r="W7" s="61"/>
      <c r="X7" s="61"/>
      <c r="Y7" s="61"/>
      <c r="Z7" s="61"/>
    </row>
    <row r="8" spans="1:26" s="5" customFormat="1" x14ac:dyDescent="0.2">
      <c r="L8" s="41"/>
      <c r="Q8" s="60" t="s">
        <v>103</v>
      </c>
      <c r="R8" s="62"/>
      <c r="S8" s="62"/>
      <c r="T8" s="62"/>
      <c r="U8" s="62"/>
      <c r="V8" s="62"/>
      <c r="W8" s="62"/>
      <c r="X8" s="62"/>
      <c r="Y8" s="62"/>
      <c r="Z8" s="62"/>
    </row>
    <row r="9" spans="1:26" ht="15" x14ac:dyDescent="0.25">
      <c r="A9" s="4">
        <v>1</v>
      </c>
      <c r="B9" s="4">
        <v>0</v>
      </c>
      <c r="C9" s="4">
        <v>91</v>
      </c>
      <c r="E9" s="4">
        <v>0.15</v>
      </c>
      <c r="G9" s="5">
        <f>C9/365</f>
        <v>0.24931506849315069</v>
      </c>
      <c r="H9" s="58">
        <v>1.5002820207405954E-3</v>
      </c>
      <c r="I9" s="59">
        <f t="array" ref="I9:I21">spline(G9:G21,H9:H21,0,0)</f>
        <v>3.4186669325394249E-2</v>
      </c>
      <c r="K9" s="4">
        <v>0.25</v>
      </c>
      <c r="L9" s="31">
        <f>PWLinear(K9,G$9:G$33,H$9:H$33)</f>
        <v>1.5024790581064376E-3</v>
      </c>
      <c r="M9" s="31">
        <f>splint(G$9:G$21,H$9:H$21,I$9:I$21,K9)</f>
        <v>1.5002900343083199E-3</v>
      </c>
      <c r="N9" s="31">
        <f>L9</f>
        <v>1.5024790581064376E-3</v>
      </c>
      <c r="O9" s="31">
        <f>M9</f>
        <v>1.5002900343083199E-3</v>
      </c>
      <c r="Q9" s="64" t="s">
        <v>75</v>
      </c>
      <c r="R9" s="65"/>
      <c r="S9" s="65"/>
      <c r="T9" s="65"/>
      <c r="U9" s="65"/>
      <c r="V9" s="65"/>
      <c r="W9" s="65"/>
      <c r="X9" s="65"/>
      <c r="Y9" s="65"/>
      <c r="Z9" s="65"/>
    </row>
    <row r="10" spans="1:26" ht="15" x14ac:dyDescent="0.25">
      <c r="A10" s="4">
        <f>A9+1</f>
        <v>2</v>
      </c>
      <c r="B10" s="4">
        <v>0</v>
      </c>
      <c r="C10" s="4">
        <v>182</v>
      </c>
      <c r="E10" s="4">
        <v>0.23</v>
      </c>
      <c r="G10" s="5">
        <f>C10/365</f>
        <v>0.49863013698630138</v>
      </c>
      <c r="H10" s="58">
        <v>2.3000036219071873E-3</v>
      </c>
      <c r="I10" s="59">
        <v>8.8223456738722051E-3</v>
      </c>
      <c r="K10" s="4">
        <f>K9+0.25</f>
        <v>0.5</v>
      </c>
      <c r="L10" s="31">
        <f t="shared" ref="L10:L40" si="0">PWLinear(K10,G$9:G$33,H$9:H$33)</f>
        <v>2.3099047746237664E-3</v>
      </c>
      <c r="M10" s="31">
        <f t="shared" ref="M10:M40" si="1">splint(G$9:G$21,H$9:H$21,I$9:I$21,K10)</f>
        <v>2.3073562733822539E-3</v>
      </c>
      <c r="N10" s="71">
        <f>2*(((1+L10/2)^$K10/(1+L9/2)^$K9)^(1/($K10-$K9))-1)</f>
        <v>3.1176562145880382E-3</v>
      </c>
      <c r="O10" s="71">
        <f t="shared" ref="O10:O73" si="2">2*(((1+M10/2)^$K10/(1+M9/2)^$K9)^(1/($K10-$K9))-1)</f>
        <v>3.1147479462916294E-3</v>
      </c>
      <c r="Q10" s="64"/>
      <c r="R10" s="65" t="s">
        <v>76</v>
      </c>
      <c r="S10" s="65"/>
      <c r="T10" s="65"/>
      <c r="U10" s="65"/>
      <c r="V10" s="65"/>
      <c r="W10" s="65"/>
      <c r="X10" s="65"/>
      <c r="Y10" s="65"/>
      <c r="Z10" s="65"/>
    </row>
    <row r="11" spans="1:26" ht="15" x14ac:dyDescent="0.25">
      <c r="A11" s="4">
        <f t="shared" ref="A11:A74" si="3">A10+1</f>
        <v>3</v>
      </c>
      <c r="B11" s="34">
        <v>6</v>
      </c>
      <c r="C11" s="35">
        <v>40695</v>
      </c>
      <c r="D11" s="34">
        <v>106.79</v>
      </c>
      <c r="E11" s="37">
        <v>0.77</v>
      </c>
      <c r="G11" s="5">
        <f>(COUPNUM($C$3,C11,$C$5,1)-COUPDAYBS($C$3,C11,$C$5,1)/COUPDAYS($C$3,C11,$C$5,1))/$C$5</f>
        <v>1.3186813186813187</v>
      </c>
      <c r="H11" s="56">
        <v>8.2272035712298471E-3</v>
      </c>
      <c r="I11" s="59">
        <v>-3.9886384238598943E-3</v>
      </c>
      <c r="K11" s="4">
        <f t="shared" ref="K11:K74" si="4">K10+0.25</f>
        <v>0.75</v>
      </c>
      <c r="L11" s="31">
        <f t="shared" si="0"/>
        <v>4.1168651453994485E-3</v>
      </c>
      <c r="M11" s="31">
        <f t="shared" si="1"/>
        <v>3.8850701943631129E-3</v>
      </c>
      <c r="N11" s="71">
        <f t="shared" ref="N11:N74" si="5">2*(((1+L11/2)^$K11/(1+L10/2)^$K10)^(1/($K11-$K10))-1)</f>
        <v>7.7356793671650159E-3</v>
      </c>
      <c r="O11" s="71">
        <f t="shared" si="2"/>
        <v>7.0442284850846804E-3</v>
      </c>
      <c r="Q11" s="64"/>
      <c r="R11" s="65" t="s">
        <v>77</v>
      </c>
      <c r="S11" s="65"/>
      <c r="T11" s="65"/>
      <c r="U11" s="65"/>
      <c r="V11" s="65"/>
      <c r="W11" s="65"/>
      <c r="X11" s="65"/>
      <c r="Y11" s="65"/>
      <c r="Z11" s="65"/>
    </row>
    <row r="12" spans="1:26" ht="15" x14ac:dyDescent="0.25">
      <c r="A12" s="4">
        <f t="shared" si="3"/>
        <v>4</v>
      </c>
      <c r="B12" s="34">
        <v>3.75</v>
      </c>
      <c r="C12" s="35">
        <v>41061</v>
      </c>
      <c r="D12" s="34">
        <v>105.31</v>
      </c>
      <c r="E12" s="37">
        <v>1.4</v>
      </c>
      <c r="G12" s="5">
        <f t="shared" ref="G12:G21" si="6">(COUPNUM($C$3,C12,$C$5,1)-COUPDAYBS($C$3,C12,$C$5,1)/COUPDAYS($C$3,C12,$C$5,1))/$C$5</f>
        <v>2.3186813186813189</v>
      </c>
      <c r="H12" s="56">
        <v>1.4334968368852466E-2</v>
      </c>
      <c r="I12" s="59">
        <v>5.6381704533920731E-4</v>
      </c>
      <c r="K12" s="4">
        <f t="shared" si="4"/>
        <v>1</v>
      </c>
      <c r="L12" s="31">
        <f t="shared" si="0"/>
        <v>5.923825516175131E-3</v>
      </c>
      <c r="M12" s="31">
        <f t="shared" si="1"/>
        <v>5.7687467009021566E-3</v>
      </c>
      <c r="N12" s="71">
        <f t="shared" si="5"/>
        <v>1.1354487701290772E-2</v>
      </c>
      <c r="O12" s="71">
        <f t="shared" si="2"/>
        <v>1.1430406953830907E-2</v>
      </c>
      <c r="Q12" s="64"/>
      <c r="R12" s="65" t="s">
        <v>97</v>
      </c>
      <c r="S12" s="65"/>
      <c r="T12" s="65"/>
      <c r="U12" s="65"/>
      <c r="V12" s="65"/>
      <c r="W12" s="65"/>
      <c r="X12" s="65"/>
      <c r="Y12" s="65"/>
      <c r="Z12" s="65"/>
    </row>
    <row r="13" spans="1:26" ht="15" x14ac:dyDescent="0.25">
      <c r="A13" s="4">
        <f t="shared" si="3"/>
        <v>5</v>
      </c>
      <c r="B13" s="34">
        <v>3.5</v>
      </c>
      <c r="C13" s="35">
        <v>41426</v>
      </c>
      <c r="D13" s="34">
        <v>104.99</v>
      </c>
      <c r="E13" s="37">
        <v>1.93</v>
      </c>
      <c r="G13" s="5">
        <f t="shared" si="6"/>
        <v>3.3186813186813189</v>
      </c>
      <c r="H13" s="56">
        <v>1.9750663158380807E-2</v>
      </c>
      <c r="I13" s="59">
        <v>-2.4190498060625938E-3</v>
      </c>
      <c r="K13" s="4">
        <f t="shared" si="4"/>
        <v>1.25</v>
      </c>
      <c r="L13" s="31">
        <f t="shared" si="0"/>
        <v>7.7307858869508136E-3</v>
      </c>
      <c r="M13" s="31">
        <f t="shared" si="1"/>
        <v>7.7142892890307959E-3</v>
      </c>
      <c r="N13" s="71">
        <f t="shared" si="5"/>
        <v>1.4974919356377736E-2</v>
      </c>
      <c r="O13" s="71">
        <f t="shared" si="2"/>
        <v>1.5515349203123474E-2</v>
      </c>
    </row>
    <row r="14" spans="1:26" ht="15" x14ac:dyDescent="0.25">
      <c r="A14" s="4">
        <f t="shared" si="3"/>
        <v>6</v>
      </c>
      <c r="B14" s="34">
        <v>2.5</v>
      </c>
      <c r="C14" s="35">
        <v>42156</v>
      </c>
      <c r="D14" s="34">
        <v>99.69</v>
      </c>
      <c r="E14" s="37">
        <v>2.56</v>
      </c>
      <c r="G14" s="5">
        <f t="shared" si="6"/>
        <v>5.3186813186813184</v>
      </c>
      <c r="H14" s="56">
        <v>2.6073142931933434E-2</v>
      </c>
      <c r="I14" s="59">
        <v>2.1187618726209814E-4</v>
      </c>
      <c r="K14" s="4">
        <f t="shared" si="4"/>
        <v>1.5</v>
      </c>
      <c r="L14" s="31">
        <f t="shared" si="0"/>
        <v>9.3346554301394422E-3</v>
      </c>
      <c r="M14" s="31">
        <f t="shared" si="1"/>
        <v>9.4976453452542721E-3</v>
      </c>
      <c r="N14" s="71">
        <f t="shared" si="5"/>
        <v>1.7373242322277438E-2</v>
      </c>
      <c r="O14" s="71">
        <f t="shared" si="2"/>
        <v>1.8438214827577681E-2</v>
      </c>
      <c r="Q14" s="43" t="s">
        <v>104</v>
      </c>
      <c r="R14" s="30"/>
      <c r="S14" s="30"/>
      <c r="T14" s="30"/>
      <c r="U14" s="30"/>
      <c r="V14" s="30"/>
      <c r="W14" s="30"/>
      <c r="X14" s="30"/>
      <c r="Y14" s="30"/>
      <c r="Z14" s="30"/>
    </row>
    <row r="15" spans="1:26" ht="15" x14ac:dyDescent="0.25">
      <c r="A15" s="4">
        <f t="shared" si="3"/>
        <v>7</v>
      </c>
      <c r="B15" s="34">
        <v>4</v>
      </c>
      <c r="C15" s="35">
        <v>42887</v>
      </c>
      <c r="D15" s="34">
        <v>106.53</v>
      </c>
      <c r="E15" s="37">
        <v>3</v>
      </c>
      <c r="G15" s="5">
        <f t="shared" si="6"/>
        <v>7.3186813186813184</v>
      </c>
      <c r="H15" s="56">
        <v>3.103303918882263E-2</v>
      </c>
      <c r="I15" s="59">
        <v>-4.7233021798094902E-4</v>
      </c>
      <c r="K15" s="4">
        <f t="shared" si="4"/>
        <v>1.75</v>
      </c>
      <c r="L15" s="31">
        <f t="shared" si="0"/>
        <v>1.0861596629545098E-2</v>
      </c>
      <c r="M15" s="31">
        <f t="shared" si="1"/>
        <v>1.108439118341868E-2</v>
      </c>
      <c r="N15" s="71">
        <f t="shared" si="5"/>
        <v>2.0047642249588105E-2</v>
      </c>
      <c r="O15" s="71">
        <f t="shared" si="2"/>
        <v>2.0631212422598022E-2</v>
      </c>
      <c r="Q15" s="43" t="s">
        <v>72</v>
      </c>
      <c r="R15" s="30"/>
      <c r="S15" s="30"/>
      <c r="T15" s="30"/>
      <c r="U15" s="30"/>
      <c r="V15" s="30"/>
      <c r="W15" s="30"/>
      <c r="X15" s="30"/>
      <c r="Y15" s="30"/>
      <c r="Z15" s="30"/>
    </row>
    <row r="16" spans="1:26" ht="15" x14ac:dyDescent="0.25">
      <c r="A16" s="4">
        <f t="shared" si="3"/>
        <v>8</v>
      </c>
      <c r="B16" s="34">
        <v>3.5</v>
      </c>
      <c r="C16" s="35">
        <v>43983</v>
      </c>
      <c r="D16" s="34">
        <v>99.9</v>
      </c>
      <c r="E16" s="37">
        <v>3.51</v>
      </c>
      <c r="G16" s="5">
        <f t="shared" si="6"/>
        <v>10.318681318681319</v>
      </c>
      <c r="H16" s="56">
        <v>3.6548664382743734E-2</v>
      </c>
      <c r="I16" s="59">
        <v>1.503704741533039E-4</v>
      </c>
      <c r="K16" s="4">
        <f t="shared" si="4"/>
        <v>2</v>
      </c>
      <c r="L16" s="31">
        <f t="shared" si="0"/>
        <v>1.2388537828950752E-2</v>
      </c>
      <c r="M16" s="31">
        <f t="shared" si="1"/>
        <v>1.2544569563200405E-2</v>
      </c>
      <c r="N16" s="71">
        <f t="shared" si="5"/>
        <v>2.3109640955623068E-2</v>
      </c>
      <c r="O16" s="71">
        <f t="shared" si="2"/>
        <v>2.2795546539139622E-2</v>
      </c>
      <c r="Q16" s="43" t="s">
        <v>70</v>
      </c>
      <c r="R16" s="30"/>
      <c r="S16" s="30"/>
      <c r="T16" s="30"/>
      <c r="U16" s="30"/>
      <c r="V16" s="30"/>
      <c r="W16" s="30"/>
      <c r="X16" s="30"/>
      <c r="Y16" s="30"/>
      <c r="Z16" s="30"/>
    </row>
    <row r="17" spans="1:26" ht="15" x14ac:dyDescent="0.25">
      <c r="A17" s="4">
        <f t="shared" si="3"/>
        <v>9</v>
      </c>
      <c r="B17" s="34">
        <v>9</v>
      </c>
      <c r="C17" s="35">
        <v>45809</v>
      </c>
      <c r="D17" s="34">
        <v>158.09</v>
      </c>
      <c r="E17" s="37">
        <v>3.92</v>
      </c>
      <c r="G17" s="5">
        <f t="shared" si="6"/>
        <v>15.318681318681319</v>
      </c>
      <c r="H17" s="56">
        <v>4.3783174005260272E-2</v>
      </c>
      <c r="I17" s="59">
        <v>-6.6775515466647485E-4</v>
      </c>
      <c r="K17" s="4">
        <f t="shared" si="4"/>
        <v>2.25</v>
      </c>
      <c r="L17" s="31">
        <f t="shared" si="0"/>
        <v>1.3915479028356405E-2</v>
      </c>
      <c r="M17" s="31">
        <f t="shared" si="1"/>
        <v>1.3949312601305681E-2</v>
      </c>
      <c r="N17" s="71">
        <f t="shared" si="5"/>
        <v>2.6172792082594043E-2</v>
      </c>
      <c r="O17" s="71">
        <f t="shared" si="2"/>
        <v>2.5222612509213427E-2</v>
      </c>
      <c r="Q17" s="43" t="s">
        <v>101</v>
      </c>
      <c r="R17" s="30"/>
      <c r="S17" s="30"/>
      <c r="T17" s="30"/>
      <c r="U17" s="30"/>
      <c r="V17" s="30"/>
      <c r="W17" s="30"/>
      <c r="X17" s="30"/>
      <c r="Y17" s="30"/>
      <c r="Z17" s="30"/>
    </row>
    <row r="18" spans="1:26" ht="15" x14ac:dyDescent="0.25">
      <c r="A18" s="4">
        <f t="shared" si="3"/>
        <v>10</v>
      </c>
      <c r="B18" s="34">
        <v>5.75</v>
      </c>
      <c r="C18" s="35">
        <v>47270</v>
      </c>
      <c r="D18" s="34">
        <v>122.96</v>
      </c>
      <c r="E18" s="37">
        <v>4.03</v>
      </c>
      <c r="G18" s="5">
        <f t="shared" si="6"/>
        <v>19.318681318681318</v>
      </c>
      <c r="H18" s="56">
        <v>4.2932520443761869E-2</v>
      </c>
      <c r="I18" s="59">
        <v>3.2758713099064352E-4</v>
      </c>
      <c r="K18" s="4">
        <f t="shared" si="4"/>
        <v>2.5</v>
      </c>
      <c r="L18" s="31">
        <f t="shared" si="0"/>
        <v>1.5316935006514197E-2</v>
      </c>
      <c r="M18" s="31">
        <f t="shared" si="1"/>
        <v>1.53622659246078E-2</v>
      </c>
      <c r="N18" s="71">
        <f t="shared" si="5"/>
        <v>2.7974006773094917E-2</v>
      </c>
      <c r="O18" s="71">
        <f t="shared" si="2"/>
        <v>2.8123538099045664E-2</v>
      </c>
      <c r="Q18" s="63" t="s">
        <v>105</v>
      </c>
      <c r="R18" s="30"/>
      <c r="S18" s="30"/>
      <c r="T18" s="30"/>
      <c r="U18" s="30"/>
      <c r="V18" s="30"/>
      <c r="W18" s="30"/>
      <c r="X18" s="30"/>
      <c r="Y18" s="30"/>
      <c r="Z18" s="30"/>
    </row>
    <row r="19" spans="1:26" ht="15" x14ac:dyDescent="0.25">
      <c r="A19" s="4">
        <f t="shared" si="3"/>
        <v>11</v>
      </c>
      <c r="B19" s="34">
        <v>5.75</v>
      </c>
      <c r="C19" s="35">
        <v>48731</v>
      </c>
      <c r="D19" s="34">
        <v>125.27</v>
      </c>
      <c r="E19" s="37">
        <v>4.0599999999999996</v>
      </c>
      <c r="G19" s="5">
        <f t="shared" si="6"/>
        <v>23.318681318681318</v>
      </c>
      <c r="H19" s="56">
        <v>4.2957362470663653E-2</v>
      </c>
      <c r="I19" s="59">
        <v>-3.142825236460293E-4</v>
      </c>
      <c r="K19" s="4">
        <f t="shared" si="4"/>
        <v>2.75</v>
      </c>
      <c r="L19" s="31">
        <f t="shared" si="0"/>
        <v>1.6670858703896282E-2</v>
      </c>
      <c r="M19" s="31">
        <f t="shared" si="1"/>
        <v>1.67762478403824E-2</v>
      </c>
      <c r="N19" s="71">
        <f t="shared" si="5"/>
        <v>3.0260224015888681E-2</v>
      </c>
      <c r="O19" s="71">
        <f t="shared" si="2"/>
        <v>3.097074488256224E-2</v>
      </c>
      <c r="Q19" s="63" t="s">
        <v>73</v>
      </c>
      <c r="R19" s="30"/>
      <c r="S19" s="30"/>
      <c r="T19" s="30"/>
      <c r="U19" s="30"/>
      <c r="V19" s="30"/>
      <c r="W19" s="30"/>
      <c r="X19" s="30"/>
      <c r="Y19" s="30"/>
      <c r="Z19" s="30"/>
    </row>
    <row r="20" spans="1:26" ht="15" x14ac:dyDescent="0.25">
      <c r="A20" s="4">
        <f t="shared" si="3"/>
        <v>12</v>
      </c>
      <c r="B20" s="34">
        <v>5</v>
      </c>
      <c r="C20" s="35">
        <v>50192</v>
      </c>
      <c r="D20" s="34">
        <v>116.55</v>
      </c>
      <c r="E20" s="37">
        <v>4</v>
      </c>
      <c r="G20" s="5">
        <f t="shared" si="6"/>
        <v>27.318681318681318</v>
      </c>
      <c r="H20" s="56">
        <v>4.1046523202330945E-2</v>
      </c>
      <c r="I20" s="59">
        <v>2.0366247788053952E-4</v>
      </c>
      <c r="K20" s="4">
        <f t="shared" si="4"/>
        <v>3</v>
      </c>
      <c r="L20" s="31">
        <f t="shared" si="0"/>
        <v>1.8024782401278368E-2</v>
      </c>
      <c r="M20" s="31">
        <f t="shared" si="1"/>
        <v>1.8145057934184711E-2</v>
      </c>
      <c r="N20" s="71">
        <f t="shared" si="5"/>
        <v>3.2978070077825716E-2</v>
      </c>
      <c r="O20" s="71">
        <f t="shared" si="2"/>
        <v>3.32634237279823E-2</v>
      </c>
    </row>
    <row r="21" spans="1:26" ht="15" x14ac:dyDescent="0.25">
      <c r="A21" s="4">
        <f t="shared" si="3"/>
        <v>13</v>
      </c>
      <c r="B21" s="34">
        <v>4</v>
      </c>
      <c r="C21" s="35">
        <v>51653</v>
      </c>
      <c r="D21" s="34">
        <v>100.24</v>
      </c>
      <c r="E21" s="37">
        <v>3.99</v>
      </c>
      <c r="G21" s="5">
        <f t="shared" si="6"/>
        <v>31.318681318681318</v>
      </c>
      <c r="H21" s="56">
        <v>4.0481139065995111E-2</v>
      </c>
      <c r="I21" s="59">
        <v>4.1782866226990413E-6</v>
      </c>
      <c r="K21" s="4">
        <f t="shared" si="4"/>
        <v>3.25</v>
      </c>
      <c r="L21" s="31">
        <f t="shared" si="0"/>
        <v>1.937870609866045E-2</v>
      </c>
      <c r="M21" s="31">
        <f t="shared" si="1"/>
        <v>1.9422088911461577E-2</v>
      </c>
      <c r="N21" s="71">
        <f t="shared" si="5"/>
        <v>3.5696817772619127E-2</v>
      </c>
      <c r="O21" s="71">
        <f t="shared" si="2"/>
        <v>3.4809636788170728E-2</v>
      </c>
    </row>
    <row r="22" spans="1:26" ht="15" x14ac:dyDescent="0.25">
      <c r="A22" s="4">
        <f t="shared" si="3"/>
        <v>14</v>
      </c>
      <c r="B22" s="37"/>
      <c r="C22" s="57"/>
      <c r="D22" s="37"/>
      <c r="E22" s="37"/>
      <c r="G22" s="5"/>
      <c r="H22" s="56"/>
      <c r="I22" s="59"/>
      <c r="K22" s="4">
        <f t="shared" si="4"/>
        <v>3.5</v>
      </c>
      <c r="L22" s="31">
        <f t="shared" si="0"/>
        <v>2.0323855005983105E-2</v>
      </c>
      <c r="M22" s="31">
        <f t="shared" si="1"/>
        <v>2.0565003952277536E-2</v>
      </c>
      <c r="N22" s="71">
        <f t="shared" si="5"/>
        <v>3.2651121657784721E-2</v>
      </c>
      <c r="O22" s="71">
        <f t="shared" si="2"/>
        <v>3.5481895919237338E-2</v>
      </c>
    </row>
    <row r="23" spans="1:26" ht="15" x14ac:dyDescent="0.25">
      <c r="A23" s="4">
        <f t="shared" si="3"/>
        <v>15</v>
      </c>
      <c r="B23" s="37"/>
      <c r="C23" s="57"/>
      <c r="D23" s="37"/>
      <c r="E23" s="37"/>
      <c r="G23" s="5"/>
      <c r="H23" s="56"/>
      <c r="I23" s="59"/>
      <c r="K23" s="4">
        <f t="shared" si="4"/>
        <v>3.75</v>
      </c>
      <c r="L23" s="31">
        <f t="shared" si="0"/>
        <v>2.1114164977677184E-2</v>
      </c>
      <c r="M23" s="31">
        <f t="shared" si="1"/>
        <v>2.1571867850447943E-2</v>
      </c>
      <c r="N23" s="71">
        <f t="shared" si="5"/>
        <v>3.221102077109661E-2</v>
      </c>
      <c r="O23" s="71">
        <f t="shared" si="2"/>
        <v>3.5720757837323536E-2</v>
      </c>
    </row>
    <row r="24" spans="1:26" ht="15" x14ac:dyDescent="0.25">
      <c r="A24" s="4">
        <f t="shared" si="3"/>
        <v>16</v>
      </c>
      <c r="B24" s="37"/>
      <c r="C24" s="57"/>
      <c r="D24" s="37"/>
      <c r="E24" s="37"/>
      <c r="G24" s="5"/>
      <c r="H24" s="56"/>
      <c r="I24" s="59"/>
      <c r="K24" s="4">
        <f t="shared" si="4"/>
        <v>4</v>
      </c>
      <c r="L24" s="31">
        <f t="shared" si="0"/>
        <v>2.1904474949371262E-2</v>
      </c>
      <c r="M24" s="31">
        <f t="shared" si="1"/>
        <v>2.2463002621054686E-2</v>
      </c>
      <c r="N24" s="71">
        <f t="shared" si="5"/>
        <v>3.3796276174616224E-2</v>
      </c>
      <c r="O24" s="71">
        <f t="shared" si="2"/>
        <v>3.5877260124181909E-2</v>
      </c>
    </row>
    <row r="25" spans="1:26" ht="15" x14ac:dyDescent="0.25">
      <c r="A25" s="4">
        <f t="shared" si="3"/>
        <v>17</v>
      </c>
      <c r="B25" s="37"/>
      <c r="C25" s="57"/>
      <c r="D25" s="37"/>
      <c r="E25" s="37"/>
      <c r="G25" s="5"/>
      <c r="H25" s="56"/>
      <c r="I25" s="59"/>
      <c r="K25" s="4">
        <f t="shared" si="4"/>
        <v>4.25</v>
      </c>
      <c r="L25" s="31">
        <f t="shared" si="0"/>
        <v>2.2694784921065341E-2</v>
      </c>
      <c r="M25" s="31">
        <f t="shared" si="1"/>
        <v>2.3258962373420608E-2</v>
      </c>
      <c r="N25" s="71">
        <f t="shared" si="5"/>
        <v>3.53818386722482E-2</v>
      </c>
      <c r="O25" s="71">
        <f t="shared" si="2"/>
        <v>3.6037005396063471E-2</v>
      </c>
    </row>
    <row r="26" spans="1:26" ht="15" x14ac:dyDescent="0.25">
      <c r="A26" s="4">
        <f t="shared" si="3"/>
        <v>18</v>
      </c>
      <c r="B26" s="37"/>
      <c r="C26" s="57"/>
      <c r="D26" s="37"/>
      <c r="E26" s="37"/>
      <c r="G26" s="5"/>
      <c r="H26" s="56"/>
      <c r="I26" s="59"/>
      <c r="K26" s="4">
        <f t="shared" si="4"/>
        <v>4.5</v>
      </c>
      <c r="L26" s="31">
        <f t="shared" si="0"/>
        <v>2.348509489275942E-2</v>
      </c>
      <c r="M26" s="31">
        <f t="shared" si="1"/>
        <v>2.3980301216868567E-2</v>
      </c>
      <c r="N26" s="71">
        <f t="shared" si="5"/>
        <v>3.6967708023242896E-2</v>
      </c>
      <c r="O26" s="71">
        <f t="shared" si="2"/>
        <v>3.6282484105031099E-2</v>
      </c>
    </row>
    <row r="27" spans="1:26" ht="15" x14ac:dyDescent="0.25">
      <c r="A27" s="4">
        <f t="shared" si="3"/>
        <v>19</v>
      </c>
      <c r="B27" s="37"/>
      <c r="C27" s="57"/>
      <c r="D27" s="37"/>
      <c r="E27" s="37"/>
      <c r="G27" s="5"/>
      <c r="H27" s="56"/>
      <c r="I27" s="59"/>
      <c r="K27" s="4">
        <f t="shared" si="4"/>
        <v>4.75</v>
      </c>
      <c r="L27" s="31">
        <f t="shared" si="0"/>
        <v>2.4275404864453499E-2</v>
      </c>
      <c r="M27" s="31">
        <f t="shared" si="1"/>
        <v>2.4647573260721398E-2</v>
      </c>
      <c r="N27" s="71">
        <f t="shared" si="5"/>
        <v>3.8553883987132664E-2</v>
      </c>
      <c r="O27" s="71">
        <f t="shared" si="2"/>
        <v>3.6696158419799563E-2</v>
      </c>
    </row>
    <row r="28" spans="1:26" ht="15" x14ac:dyDescent="0.25">
      <c r="A28" s="4">
        <f t="shared" si="3"/>
        <v>20</v>
      </c>
      <c r="B28" s="37"/>
      <c r="C28" s="57"/>
      <c r="D28" s="37"/>
      <c r="E28" s="37"/>
      <c r="G28" s="5"/>
      <c r="H28" s="56"/>
      <c r="I28" s="59"/>
      <c r="K28" s="4">
        <f t="shared" si="4"/>
        <v>5</v>
      </c>
      <c r="L28" s="31">
        <f t="shared" si="0"/>
        <v>2.5065714836147578E-2</v>
      </c>
      <c r="M28" s="31">
        <f t="shared" si="1"/>
        <v>2.5281332614301971E-2</v>
      </c>
      <c r="N28" s="71">
        <f t="shared" si="5"/>
        <v>4.0140366323667909E-2</v>
      </c>
      <c r="O28" s="71">
        <f t="shared" si="2"/>
        <v>3.7360523542839363E-2</v>
      </c>
    </row>
    <row r="29" spans="1:26" ht="15" x14ac:dyDescent="0.25">
      <c r="A29" s="4">
        <f t="shared" si="3"/>
        <v>21</v>
      </c>
      <c r="B29" s="37"/>
      <c r="C29" s="57"/>
      <c r="D29" s="37"/>
      <c r="E29" s="37"/>
      <c r="G29" s="5"/>
      <c r="H29" s="56"/>
      <c r="I29" s="59"/>
      <c r="K29" s="4">
        <f t="shared" si="4"/>
        <v>5.25</v>
      </c>
      <c r="L29" s="31">
        <f t="shared" si="0"/>
        <v>2.5856024807841653E-2</v>
      </c>
      <c r="M29" s="31">
        <f t="shared" si="1"/>
        <v>2.5902133386933111E-2</v>
      </c>
      <c r="N29" s="71">
        <f t="shared" si="5"/>
        <v>4.1727154792801979E-2</v>
      </c>
      <c r="O29" s="71">
        <f t="shared" si="2"/>
        <v>3.8358187716347025E-2</v>
      </c>
    </row>
    <row r="30" spans="1:26" ht="15" x14ac:dyDescent="0.25">
      <c r="A30" s="4">
        <f t="shared" si="3"/>
        <v>22</v>
      </c>
      <c r="B30" s="37"/>
      <c r="C30" s="57"/>
      <c r="D30" s="37"/>
      <c r="E30" s="37"/>
      <c r="G30" s="5"/>
      <c r="H30" s="56"/>
      <c r="I30" s="59"/>
      <c r="K30" s="4">
        <f t="shared" si="4"/>
        <v>5.5</v>
      </c>
      <c r="L30" s="31">
        <f t="shared" si="0"/>
        <v>2.652280385632174E-2</v>
      </c>
      <c r="M30" s="31">
        <f t="shared" si="1"/>
        <v>2.6528882863559058E-2</v>
      </c>
      <c r="N30" s="71">
        <f t="shared" si="5"/>
        <v>4.0575970538287986E-2</v>
      </c>
      <c r="O30" s="71">
        <f t="shared" si="2"/>
        <v>3.9735504428870527E-2</v>
      </c>
    </row>
    <row r="31" spans="1:26" ht="15" x14ac:dyDescent="0.25">
      <c r="A31" s="4">
        <f t="shared" si="3"/>
        <v>23</v>
      </c>
      <c r="B31" s="37"/>
      <c r="C31" s="57"/>
      <c r="D31" s="37"/>
      <c r="E31" s="37"/>
      <c r="G31" s="5"/>
      <c r="H31" s="1"/>
      <c r="I31" s="55"/>
      <c r="K31" s="4">
        <f t="shared" si="4"/>
        <v>5.75</v>
      </c>
      <c r="L31" s="31">
        <f t="shared" si="0"/>
        <v>2.714279088843289E-2</v>
      </c>
      <c r="M31" s="31">
        <f t="shared" si="1"/>
        <v>2.7164908242970316E-2</v>
      </c>
      <c r="N31" s="71">
        <f t="shared" si="5"/>
        <v>4.0830596696957766E-2</v>
      </c>
      <c r="O31" s="71">
        <f t="shared" si="2"/>
        <v>4.1208080651246703E-2</v>
      </c>
    </row>
    <row r="32" spans="1:26" ht="15" x14ac:dyDescent="0.25">
      <c r="A32" s="4">
        <f t="shared" si="3"/>
        <v>24</v>
      </c>
      <c r="B32" s="37"/>
      <c r="C32" s="57"/>
      <c r="D32" s="37"/>
      <c r="E32" s="37"/>
      <c r="G32" s="5"/>
      <c r="H32" s="1"/>
      <c r="I32" s="55"/>
      <c r="K32" s="4">
        <f t="shared" si="4"/>
        <v>6</v>
      </c>
      <c r="L32" s="31">
        <f t="shared" si="0"/>
        <v>2.7762777920544039E-2</v>
      </c>
      <c r="M32" s="31">
        <f t="shared" si="1"/>
        <v>2.7804953665196107E-2</v>
      </c>
      <c r="N32" s="71">
        <f t="shared" si="5"/>
        <v>4.2074931952298833E-2</v>
      </c>
      <c r="O32" s="71">
        <f t="shared" si="2"/>
        <v>4.2581902990681986E-2</v>
      </c>
    </row>
    <row r="33" spans="1:15" ht="15" x14ac:dyDescent="0.25">
      <c r="A33" s="4">
        <f t="shared" si="3"/>
        <v>25</v>
      </c>
      <c r="B33" s="37"/>
      <c r="C33" s="57"/>
      <c r="D33" s="37"/>
      <c r="E33" s="37"/>
      <c r="G33" s="5"/>
      <c r="H33" s="1"/>
      <c r="I33" s="55"/>
      <c r="K33" s="4">
        <f t="shared" si="4"/>
        <v>6.25</v>
      </c>
      <c r="L33" s="31">
        <f t="shared" si="0"/>
        <v>2.8382764952655189E-2</v>
      </c>
      <c r="M33" s="31">
        <f t="shared" si="1"/>
        <v>2.8443673767695465E-2</v>
      </c>
      <c r="N33" s="71">
        <f t="shared" si="5"/>
        <v>4.3319455429903453E-2</v>
      </c>
      <c r="O33" s="71">
        <f t="shared" si="2"/>
        <v>4.3833457645697571E-2</v>
      </c>
    </row>
    <row r="34" spans="1:15" x14ac:dyDescent="0.2">
      <c r="A34" s="4">
        <f t="shared" si="3"/>
        <v>26</v>
      </c>
      <c r="K34" s="4">
        <f t="shared" si="4"/>
        <v>6.5</v>
      </c>
      <c r="L34" s="31">
        <f t="shared" si="0"/>
        <v>2.9002751984766338E-2</v>
      </c>
      <c r="M34" s="31">
        <f t="shared" si="1"/>
        <v>2.9075723187927432E-2</v>
      </c>
      <c r="N34" s="71">
        <f t="shared" si="5"/>
        <v>4.4564167014303546E-2</v>
      </c>
      <c r="O34" s="71">
        <f t="shared" si="2"/>
        <v>4.4941124796012311E-2</v>
      </c>
    </row>
    <row r="35" spans="1:15" x14ac:dyDescent="0.2">
      <c r="A35" s="4">
        <f t="shared" si="3"/>
        <v>27</v>
      </c>
      <c r="G35"/>
      <c r="H35"/>
      <c r="I35"/>
      <c r="J35"/>
      <c r="K35" s="4">
        <f t="shared" si="4"/>
        <v>6.75</v>
      </c>
      <c r="L35" s="31">
        <f t="shared" si="0"/>
        <v>2.9622739016877488E-2</v>
      </c>
      <c r="M35" s="31">
        <f t="shared" si="1"/>
        <v>2.9695756563351043E-2</v>
      </c>
      <c r="N35" s="71">
        <f t="shared" si="5"/>
        <v>4.580906659009365E-2</v>
      </c>
      <c r="O35" s="71">
        <f t="shared" si="2"/>
        <v>4.5883296638066895E-2</v>
      </c>
    </row>
    <row r="36" spans="1:15" x14ac:dyDescent="0.2">
      <c r="A36" s="4">
        <f t="shared" si="3"/>
        <v>28</v>
      </c>
      <c r="G36"/>
      <c r="H36"/>
      <c r="I36"/>
      <c r="J36"/>
      <c r="K36" s="4">
        <f t="shared" si="4"/>
        <v>7</v>
      </c>
      <c r="L36" s="31">
        <f t="shared" si="0"/>
        <v>3.0242726048988637E-2</v>
      </c>
      <c r="M36" s="31">
        <f t="shared" si="1"/>
        <v>3.029842853142534E-2</v>
      </c>
      <c r="N36" s="71">
        <f t="shared" si="5"/>
        <v>4.7054154041982432E-2</v>
      </c>
      <c r="O36" s="71">
        <f t="shared" si="2"/>
        <v>4.6638389060075447E-2</v>
      </c>
    </row>
    <row r="37" spans="1:15" x14ac:dyDescent="0.2">
      <c r="A37" s="4">
        <f t="shared" si="3"/>
        <v>29</v>
      </c>
      <c r="G37"/>
      <c r="H37"/>
      <c r="I37"/>
      <c r="J37"/>
      <c r="K37" s="4">
        <f t="shared" si="4"/>
        <v>7.25</v>
      </c>
      <c r="L37" s="31">
        <f t="shared" si="0"/>
        <v>3.0862713081099787E-2</v>
      </c>
      <c r="M37" s="31">
        <f t="shared" si="1"/>
        <v>3.0878393729609366E-2</v>
      </c>
      <c r="N37" s="71">
        <f t="shared" si="5"/>
        <v>4.8299429254706094E-2</v>
      </c>
      <c r="O37" s="71">
        <f t="shared" si="2"/>
        <v>4.7184854562118961E-2</v>
      </c>
    </row>
    <row r="38" spans="1:15" x14ac:dyDescent="0.2">
      <c r="A38" s="4">
        <f t="shared" si="3"/>
        <v>30</v>
      </c>
      <c r="G38"/>
      <c r="H38"/>
      <c r="I38"/>
      <c r="J38"/>
      <c r="K38" s="4">
        <f t="shared" si="4"/>
        <v>7.5</v>
      </c>
      <c r="L38" s="31">
        <f t="shared" si="0"/>
        <v>3.1366401151092585E-2</v>
      </c>
      <c r="M38" s="31">
        <f t="shared" si="1"/>
        <v>3.1430852903337365E-2</v>
      </c>
      <c r="N38" s="71">
        <f t="shared" si="5"/>
        <v>4.6027822732633172E-2</v>
      </c>
      <c r="O38" s="71">
        <f t="shared" si="2"/>
        <v>4.7517709326879931E-2</v>
      </c>
    </row>
    <row r="39" spans="1:15" x14ac:dyDescent="0.2">
      <c r="A39" s="4">
        <f t="shared" si="3"/>
        <v>31</v>
      </c>
      <c r="G39"/>
      <c r="H39"/>
      <c r="I39"/>
      <c r="J39"/>
      <c r="K39" s="4">
        <f t="shared" si="4"/>
        <v>7.75</v>
      </c>
      <c r="L39" s="31">
        <f t="shared" si="0"/>
        <v>3.1826036583919345E-2</v>
      </c>
      <c r="M39" s="31">
        <f t="shared" si="1"/>
        <v>3.1956173353393139E-2</v>
      </c>
      <c r="N39" s="71">
        <f t="shared" si="5"/>
        <v>4.5663566115027976E-2</v>
      </c>
      <c r="O39" s="71">
        <f t="shared" si="2"/>
        <v>4.7779113395964856E-2</v>
      </c>
    </row>
    <row r="40" spans="1:15" x14ac:dyDescent="0.2">
      <c r="A40" s="4">
        <f t="shared" si="3"/>
        <v>32</v>
      </c>
      <c r="G40"/>
      <c r="H40"/>
      <c r="I40"/>
      <c r="J40"/>
      <c r="K40" s="4">
        <f t="shared" si="4"/>
        <v>8</v>
      </c>
      <c r="L40" s="31">
        <f t="shared" si="0"/>
        <v>3.2285672016746106E-2</v>
      </c>
      <c r="M40" s="31">
        <f t="shared" si="1"/>
        <v>3.2457568632354009E-2</v>
      </c>
      <c r="N40" s="71">
        <f t="shared" si="5"/>
        <v>4.6586060264939277E-2</v>
      </c>
      <c r="O40" s="71">
        <f t="shared" si="2"/>
        <v>4.8062339975779356E-2</v>
      </c>
    </row>
    <row r="41" spans="1:15" x14ac:dyDescent="0.2">
      <c r="A41" s="4">
        <f t="shared" si="3"/>
        <v>33</v>
      </c>
      <c r="G41"/>
      <c r="H41"/>
      <c r="I41"/>
      <c r="J41"/>
      <c r="K41" s="4">
        <f t="shared" si="4"/>
        <v>8.25</v>
      </c>
      <c r="L41" s="31">
        <f t="shared" ref="L41:L72" si="7">PWLinear(K41,G$9:G$33,H$9:H$33)</f>
        <v>3.2745307449572859E-2</v>
      </c>
      <c r="M41" s="31">
        <f t="shared" ref="M41:M72" si="8">splint(G$9:G$21,H$9:H$21,I$9:I$21,K41)</f>
        <v>3.2938281972991514E-2</v>
      </c>
      <c r="N41" s="71">
        <f t="shared" si="5"/>
        <v>4.7508657637436613E-2</v>
      </c>
      <c r="O41" s="71">
        <f t="shared" si="2"/>
        <v>4.8381288126791766E-2</v>
      </c>
    </row>
    <row r="42" spans="1:15" x14ac:dyDescent="0.2">
      <c r="A42" s="4">
        <f t="shared" si="3"/>
        <v>34</v>
      </c>
      <c r="G42"/>
      <c r="H42"/>
      <c r="I42"/>
      <c r="J42"/>
      <c r="K42" s="4">
        <f t="shared" si="4"/>
        <v>8.5</v>
      </c>
      <c r="L42" s="31">
        <f t="shared" si="7"/>
        <v>3.320494288239962E-2</v>
      </c>
      <c r="M42" s="31">
        <f t="shared" si="8"/>
        <v>3.3401556608077178E-2</v>
      </c>
      <c r="N42" s="71">
        <f t="shared" si="5"/>
        <v>4.8431358185724083E-2</v>
      </c>
      <c r="O42" s="71">
        <f t="shared" si="2"/>
        <v>4.8748990237540646E-2</v>
      </c>
    </row>
    <row r="43" spans="1:15" x14ac:dyDescent="0.2">
      <c r="A43" s="4">
        <f t="shared" si="3"/>
        <v>35</v>
      </c>
      <c r="G43"/>
      <c r="H43"/>
      <c r="I43"/>
      <c r="J43"/>
      <c r="K43" s="4">
        <f t="shared" si="4"/>
        <v>8.75</v>
      </c>
      <c r="L43" s="31">
        <f t="shared" si="7"/>
        <v>3.366457831522638E-2</v>
      </c>
      <c r="M43" s="31">
        <f t="shared" si="8"/>
        <v>3.3850635770382533E-2</v>
      </c>
      <c r="N43" s="71">
        <f t="shared" si="5"/>
        <v>4.9354161862919188E-2</v>
      </c>
      <c r="O43" s="71">
        <f t="shared" si="2"/>
        <v>4.9178482807016088E-2</v>
      </c>
    </row>
    <row r="44" spans="1:15" x14ac:dyDescent="0.2">
      <c r="A44" s="4">
        <f t="shared" si="3"/>
        <v>36</v>
      </c>
      <c r="G44"/>
      <c r="H44"/>
      <c r="I44"/>
      <c r="J44" s="41"/>
      <c r="K44" s="4">
        <f t="shared" si="4"/>
        <v>9</v>
      </c>
      <c r="L44" s="31">
        <f t="shared" si="7"/>
        <v>3.4124213748053141E-2</v>
      </c>
      <c r="M44" s="31">
        <f t="shared" si="8"/>
        <v>3.428876269267913E-2</v>
      </c>
      <c r="N44" s="71">
        <f t="shared" si="5"/>
        <v>5.0277068622284649E-2</v>
      </c>
      <c r="O44" s="71">
        <f t="shared" si="2"/>
        <v>4.9682809912525272E-2</v>
      </c>
    </row>
    <row r="45" spans="1:15" x14ac:dyDescent="0.2">
      <c r="A45" s="4">
        <f t="shared" si="3"/>
        <v>37</v>
      </c>
      <c r="G45"/>
      <c r="H45"/>
      <c r="I45"/>
      <c r="J45"/>
      <c r="K45" s="4">
        <f t="shared" si="4"/>
        <v>9.25</v>
      </c>
      <c r="L45" s="31">
        <f t="shared" si="7"/>
        <v>3.4583849180879894E-2</v>
      </c>
      <c r="M45" s="31">
        <f t="shared" si="8"/>
        <v>3.471918060773848E-2</v>
      </c>
      <c r="N45" s="71">
        <f t="shared" si="5"/>
        <v>5.1200078417001471E-2</v>
      </c>
      <c r="O45" s="71">
        <f t="shared" si="2"/>
        <v>5.0275027141427842E-2</v>
      </c>
    </row>
    <row r="46" spans="1:15" x14ac:dyDescent="0.2">
      <c r="A46" s="4">
        <f t="shared" si="3"/>
        <v>38</v>
      </c>
      <c r="G46"/>
      <c r="H46"/>
      <c r="I46"/>
      <c r="J46"/>
      <c r="K46" s="4">
        <f t="shared" si="4"/>
        <v>9.5</v>
      </c>
      <c r="L46" s="31">
        <f t="shared" si="7"/>
        <v>3.5043484613706655E-2</v>
      </c>
      <c r="M46" s="31">
        <f t="shared" si="8"/>
        <v>3.5145132748332121E-2</v>
      </c>
      <c r="N46" s="71">
        <f t="shared" si="5"/>
        <v>5.2123191200358132E-2</v>
      </c>
      <c r="O46" s="71">
        <f t="shared" si="2"/>
        <v>5.0968205987522719E-2</v>
      </c>
    </row>
    <row r="47" spans="1:15" x14ac:dyDescent="0.2">
      <c r="A47" s="4">
        <f t="shared" si="3"/>
        <v>39</v>
      </c>
      <c r="G47"/>
      <c r="H47"/>
      <c r="I47"/>
      <c r="J47"/>
      <c r="K47" s="4">
        <f t="shared" si="4"/>
        <v>9.75</v>
      </c>
      <c r="L47" s="31">
        <f t="shared" si="7"/>
        <v>3.5503120046533415E-2</v>
      </c>
      <c r="M47" s="31">
        <f t="shared" si="8"/>
        <v>3.5569862347231598E-2</v>
      </c>
      <c r="N47" s="71">
        <f t="shared" si="5"/>
        <v>5.3046406925649325E-2</v>
      </c>
      <c r="O47" s="71">
        <f t="shared" si="2"/>
        <v>5.1775438713423494E-2</v>
      </c>
    </row>
    <row r="48" spans="1:15" x14ac:dyDescent="0.2">
      <c r="A48" s="4">
        <f t="shared" si="3"/>
        <v>40</v>
      </c>
      <c r="G48"/>
      <c r="H48"/>
      <c r="I48"/>
      <c r="J48" s="41"/>
      <c r="K48" s="4">
        <f t="shared" si="4"/>
        <v>10</v>
      </c>
      <c r="L48" s="31">
        <f t="shared" si="7"/>
        <v>3.5962755479360176E-2</v>
      </c>
      <c r="M48" s="31">
        <f t="shared" si="8"/>
        <v>3.5996612637208429E-2</v>
      </c>
      <c r="N48" s="71">
        <f t="shared" si="5"/>
        <v>5.3969725546127112E-2</v>
      </c>
      <c r="O48" s="71">
        <f t="shared" si="2"/>
        <v>5.270984368060061E-2</v>
      </c>
    </row>
    <row r="49" spans="1:15" x14ac:dyDescent="0.2">
      <c r="A49" s="4">
        <f t="shared" si="3"/>
        <v>41</v>
      </c>
      <c r="G49"/>
      <c r="H49"/>
      <c r="I49"/>
      <c r="J49"/>
      <c r="K49" s="4">
        <f t="shared" si="4"/>
        <v>10.25</v>
      </c>
      <c r="L49" s="31">
        <f t="shared" si="7"/>
        <v>3.6422390912186929E-2</v>
      </c>
      <c r="M49" s="31">
        <f t="shared" si="8"/>
        <v>3.6428626851034145E-2</v>
      </c>
      <c r="N49" s="71">
        <f t="shared" si="5"/>
        <v>5.4893147015200761E-2</v>
      </c>
      <c r="O49" s="71">
        <f t="shared" si="2"/>
        <v>5.3784571148307148E-2</v>
      </c>
    </row>
    <row r="50" spans="1:15" x14ac:dyDescent="0.2">
      <c r="A50" s="4">
        <f t="shared" si="3"/>
        <v>42</v>
      </c>
      <c r="G50"/>
      <c r="H50"/>
      <c r="I50"/>
      <c r="J50"/>
      <c r="K50" s="4">
        <f t="shared" si="4"/>
        <v>10.5</v>
      </c>
      <c r="L50" s="31">
        <f t="shared" si="7"/>
        <v>3.6811014731692134E-2</v>
      </c>
      <c r="M50" s="31">
        <f t="shared" si="8"/>
        <v>3.6868779434958747E-2</v>
      </c>
      <c r="N50" s="71">
        <f t="shared" si="5"/>
        <v>5.2808608995985828E-2</v>
      </c>
      <c r="O50" s="71">
        <f t="shared" si="2"/>
        <v>5.4997182597513294E-2</v>
      </c>
    </row>
    <row r="51" spans="1:15" x14ac:dyDescent="0.2">
      <c r="A51" s="4">
        <f t="shared" si="3"/>
        <v>43</v>
      </c>
      <c r="G51"/>
      <c r="H51"/>
      <c r="I51"/>
      <c r="J51"/>
      <c r="K51" s="4">
        <f t="shared" si="4"/>
        <v>10.75</v>
      </c>
      <c r="L51" s="31">
        <f t="shared" si="7"/>
        <v>3.717274021281796E-2</v>
      </c>
      <c r="M51" s="31">
        <f t="shared" si="8"/>
        <v>3.7316455862241207E-2</v>
      </c>
      <c r="N51" s="71">
        <f t="shared" si="5"/>
        <v>5.2423360444125322E-2</v>
      </c>
      <c r="O51" s="71">
        <f t="shared" si="2"/>
        <v>5.6207982400717782E-2</v>
      </c>
    </row>
    <row r="52" spans="1:15" x14ac:dyDescent="0.2">
      <c r="A52" s="4">
        <f t="shared" si="3"/>
        <v>44</v>
      </c>
      <c r="G52"/>
      <c r="H52"/>
      <c r="I52"/>
      <c r="J52"/>
      <c r="K52" s="4">
        <f t="shared" si="4"/>
        <v>11</v>
      </c>
      <c r="L52" s="31">
        <f t="shared" si="7"/>
        <v>3.7534465693943787E-2</v>
      </c>
      <c r="M52" s="31">
        <f t="shared" si="8"/>
        <v>3.7769119533316055E-2</v>
      </c>
      <c r="N52" s="71">
        <f t="shared" si="5"/>
        <v>5.3149573221282331E-2</v>
      </c>
      <c r="O52" s="71">
        <f t="shared" si="2"/>
        <v>5.7329098574120163E-2</v>
      </c>
    </row>
    <row r="53" spans="1:15" x14ac:dyDescent="0.2">
      <c r="A53" s="4">
        <f t="shared" si="3"/>
        <v>45</v>
      </c>
      <c r="G53"/>
      <c r="H53"/>
      <c r="I53"/>
      <c r="J53"/>
      <c r="K53" s="4">
        <f t="shared" si="4"/>
        <v>11.25</v>
      </c>
      <c r="L53" s="31">
        <f t="shared" si="7"/>
        <v>3.7896191175069614E-2</v>
      </c>
      <c r="M53" s="31">
        <f t="shared" si="8"/>
        <v>3.8224213805593217E-2</v>
      </c>
      <c r="N53" s="71">
        <f t="shared" si="5"/>
        <v>5.3875849723710623E-2</v>
      </c>
      <c r="O53" s="71">
        <f t="shared" si="2"/>
        <v>5.8349304317822703E-2</v>
      </c>
    </row>
    <row r="54" spans="1:15" x14ac:dyDescent="0.2">
      <c r="A54" s="4">
        <f t="shared" si="3"/>
        <v>46</v>
      </c>
      <c r="G54" s="41"/>
      <c r="H54" s="41"/>
      <c r="I54" s="41"/>
      <c r="J54"/>
      <c r="K54" s="4">
        <f t="shared" si="4"/>
        <v>11.5</v>
      </c>
      <c r="L54" s="31">
        <f t="shared" si="7"/>
        <v>3.8257916656195441E-2</v>
      </c>
      <c r="M54" s="31">
        <f t="shared" si="8"/>
        <v>3.8679182036482657E-2</v>
      </c>
      <c r="N54" s="71">
        <f t="shared" si="5"/>
        <v>5.4602189928703027E-2</v>
      </c>
      <c r="O54" s="71">
        <f t="shared" si="2"/>
        <v>5.9258208948240743E-2</v>
      </c>
    </row>
    <row r="55" spans="1:15" x14ac:dyDescent="0.2">
      <c r="A55" s="4">
        <f t="shared" si="3"/>
        <v>47</v>
      </c>
      <c r="G55"/>
      <c r="H55"/>
      <c r="I55"/>
      <c r="K55" s="4">
        <f t="shared" si="4"/>
        <v>11.75</v>
      </c>
      <c r="L55" s="31">
        <f t="shared" si="7"/>
        <v>3.8619642137321268E-2</v>
      </c>
      <c r="M55" s="31">
        <f t="shared" si="8"/>
        <v>3.9131467583394294E-2</v>
      </c>
      <c r="N55" s="71">
        <f t="shared" si="5"/>
        <v>5.5328593813502192E-2</v>
      </c>
      <c r="O55" s="71">
        <f t="shared" si="2"/>
        <v>6.0045432730526649E-2</v>
      </c>
    </row>
    <row r="56" spans="1:15" x14ac:dyDescent="0.2">
      <c r="A56" s="4">
        <f t="shared" si="3"/>
        <v>48</v>
      </c>
      <c r="G56"/>
      <c r="H56"/>
      <c r="I56"/>
      <c r="J56"/>
      <c r="K56" s="4">
        <f t="shared" si="4"/>
        <v>12</v>
      </c>
      <c r="L56" s="31">
        <f t="shared" si="7"/>
        <v>3.8981367618447095E-2</v>
      </c>
      <c r="M56" s="31">
        <f t="shared" si="8"/>
        <v>3.9578513803738058E-2</v>
      </c>
      <c r="N56" s="71">
        <f t="shared" si="5"/>
        <v>5.6055061355465341E-2</v>
      </c>
      <c r="O56" s="71">
        <f t="shared" si="2"/>
        <v>6.0700611250382952E-2</v>
      </c>
    </row>
    <row r="57" spans="1:15" x14ac:dyDescent="0.2">
      <c r="A57" s="4">
        <f t="shared" si="3"/>
        <v>49</v>
      </c>
      <c r="G57"/>
      <c r="H57"/>
      <c r="I57"/>
      <c r="J57"/>
      <c r="K57" s="4">
        <f t="shared" si="4"/>
        <v>12.25</v>
      </c>
      <c r="L57" s="31">
        <f t="shared" si="7"/>
        <v>3.9343093099572922E-2</v>
      </c>
      <c r="M57" s="31">
        <f t="shared" si="8"/>
        <v>4.001776405492391E-2</v>
      </c>
      <c r="N57" s="71">
        <f t="shared" si="5"/>
        <v>5.6781592531936376E-2</v>
      </c>
      <c r="O57" s="71">
        <f t="shared" si="2"/>
        <v>6.1213400067370749E-2</v>
      </c>
    </row>
    <row r="58" spans="1:15" x14ac:dyDescent="0.2">
      <c r="A58" s="4">
        <f t="shared" si="3"/>
        <v>50</v>
      </c>
      <c r="G58"/>
      <c r="H58"/>
      <c r="I58"/>
      <c r="J58"/>
      <c r="K58" s="4">
        <f t="shared" si="4"/>
        <v>12.5</v>
      </c>
      <c r="L58" s="31">
        <f t="shared" si="7"/>
        <v>3.9704818580698749E-2</v>
      </c>
      <c r="M58" s="31">
        <f t="shared" si="8"/>
        <v>4.0446661694361785E-2</v>
      </c>
      <c r="N58" s="71">
        <f t="shared" si="5"/>
        <v>5.7508187320156168E-2</v>
      </c>
      <c r="O58" s="71">
        <f t="shared" si="2"/>
        <v>6.1573479646102047E-2</v>
      </c>
    </row>
    <row r="59" spans="1:15" x14ac:dyDescent="0.2">
      <c r="A59" s="4">
        <f t="shared" si="3"/>
        <v>51</v>
      </c>
      <c r="G59"/>
      <c r="H59"/>
      <c r="I59"/>
      <c r="J59"/>
      <c r="K59" s="4">
        <f t="shared" si="4"/>
        <v>12.75</v>
      </c>
      <c r="L59" s="31">
        <f t="shared" si="7"/>
        <v>4.0066544061824576E-2</v>
      </c>
      <c r="M59" s="31">
        <f t="shared" si="8"/>
        <v>4.0862650079461604E-2</v>
      </c>
      <c r="N59" s="71">
        <f t="shared" si="5"/>
        <v>5.8234845697541449E-2</v>
      </c>
      <c r="O59" s="71">
        <f t="shared" si="2"/>
        <v>6.1770560564733845E-2</v>
      </c>
    </row>
    <row r="60" spans="1:15" x14ac:dyDescent="0.2">
      <c r="A60" s="4">
        <f t="shared" si="3"/>
        <v>52</v>
      </c>
      <c r="G60"/>
      <c r="H60"/>
      <c r="I60"/>
      <c r="J60"/>
      <c r="K60" s="4">
        <f t="shared" si="4"/>
        <v>13</v>
      </c>
      <c r="L60" s="31">
        <f t="shared" si="7"/>
        <v>4.0428269542950403E-2</v>
      </c>
      <c r="M60" s="31">
        <f t="shared" si="8"/>
        <v>4.1263172567633316E-2</v>
      </c>
      <c r="N60" s="71">
        <f t="shared" si="5"/>
        <v>5.8961567641446333E-2</v>
      </c>
      <c r="O60" s="71">
        <f t="shared" si="2"/>
        <v>6.1794388996732508E-2</v>
      </c>
    </row>
    <row r="61" spans="1:15" x14ac:dyDescent="0.2">
      <c r="A61" s="4">
        <f t="shared" si="3"/>
        <v>53</v>
      </c>
      <c r="G61"/>
      <c r="H61"/>
      <c r="I61"/>
      <c r="J61"/>
      <c r="K61" s="4">
        <f t="shared" si="4"/>
        <v>13.25</v>
      </c>
      <c r="L61" s="31">
        <f t="shared" si="7"/>
        <v>4.078999502407623E-2</v>
      </c>
      <c r="M61" s="31">
        <f t="shared" si="8"/>
        <v>4.1645672516286862E-2</v>
      </c>
      <c r="N61" s="71">
        <f t="shared" si="5"/>
        <v>5.9688353129151661E-2</v>
      </c>
      <c r="O61" s="71">
        <f t="shared" si="2"/>
        <v>6.1634752464398979E-2</v>
      </c>
    </row>
    <row r="62" spans="1:15" x14ac:dyDescent="0.2">
      <c r="A62" s="4">
        <f t="shared" si="3"/>
        <v>54</v>
      </c>
      <c r="G62"/>
      <c r="H62"/>
      <c r="I62"/>
      <c r="J62"/>
      <c r="K62" s="4">
        <f t="shared" si="4"/>
        <v>13.5</v>
      </c>
      <c r="L62" s="31">
        <f t="shared" si="7"/>
        <v>4.1151720505202057E-2</v>
      </c>
      <c r="M62" s="31">
        <f t="shared" si="8"/>
        <v>4.200759328283217E-2</v>
      </c>
      <c r="N62" s="71">
        <f t="shared" si="5"/>
        <v>6.0415202138107027E-2</v>
      </c>
      <c r="O62" s="71">
        <f t="shared" si="2"/>
        <v>6.1281485861006679E-2</v>
      </c>
    </row>
    <row r="63" spans="1:15" x14ac:dyDescent="0.2">
      <c r="A63" s="4">
        <f t="shared" si="3"/>
        <v>55</v>
      </c>
      <c r="G63"/>
      <c r="H63"/>
      <c r="I63"/>
      <c r="J63"/>
      <c r="K63" s="4">
        <f t="shared" si="4"/>
        <v>13.75</v>
      </c>
      <c r="L63" s="31">
        <f t="shared" si="7"/>
        <v>4.1513445986327883E-2</v>
      </c>
      <c r="M63" s="31">
        <f t="shared" si="8"/>
        <v>4.2346378224679196E-2</v>
      </c>
      <c r="N63" s="71">
        <f t="shared" si="5"/>
        <v>6.1142114645689638E-2</v>
      </c>
      <c r="O63" s="71">
        <f t="shared" si="2"/>
        <v>6.0724477738659743E-2</v>
      </c>
    </row>
    <row r="64" spans="1:15" x14ac:dyDescent="0.2">
      <c r="A64" s="4">
        <f t="shared" si="3"/>
        <v>56</v>
      </c>
      <c r="G64"/>
      <c r="H64"/>
      <c r="I64"/>
      <c r="J64"/>
      <c r="K64" s="4">
        <f t="shared" si="4"/>
        <v>14</v>
      </c>
      <c r="L64" s="31">
        <f t="shared" si="7"/>
        <v>4.187517146745371E-2</v>
      </c>
      <c r="M64" s="31">
        <f t="shared" si="8"/>
        <v>4.2659470699237853E-2</v>
      </c>
      <c r="N64" s="71">
        <f t="shared" si="5"/>
        <v>6.1869090629214085E-2</v>
      </c>
      <c r="O64" s="71">
        <f t="shared" si="2"/>
        <v>5.9953676858830018E-2</v>
      </c>
    </row>
    <row r="65" spans="1:15" x14ac:dyDescent="0.2">
      <c r="A65" s="4">
        <f t="shared" si="3"/>
        <v>57</v>
      </c>
      <c r="G65"/>
      <c r="H65"/>
      <c r="I65"/>
      <c r="J65"/>
      <c r="K65" s="4">
        <f t="shared" si="4"/>
        <v>14.25</v>
      </c>
      <c r="L65" s="31">
        <f t="shared" si="7"/>
        <v>4.2236896948579537E-2</v>
      </c>
      <c r="M65" s="31">
        <f t="shared" si="8"/>
        <v>4.2944314063918104E-2</v>
      </c>
      <c r="N65" s="71">
        <f t="shared" si="5"/>
        <v>6.2596130066156164E-2</v>
      </c>
      <c r="O65" s="71">
        <f t="shared" si="2"/>
        <v>5.8959099003024207E-2</v>
      </c>
    </row>
    <row r="66" spans="1:15" x14ac:dyDescent="0.2">
      <c r="A66" s="4">
        <f t="shared" si="3"/>
        <v>58</v>
      </c>
      <c r="G66"/>
      <c r="H66"/>
      <c r="I66"/>
      <c r="J66"/>
      <c r="K66" s="4">
        <f t="shared" si="4"/>
        <v>14.5</v>
      </c>
      <c r="L66" s="31">
        <f t="shared" si="7"/>
        <v>4.2598622429705364E-2</v>
      </c>
      <c r="M66" s="31">
        <f t="shared" si="8"/>
        <v>4.3198351676129884E-2</v>
      </c>
      <c r="N66" s="71">
        <f t="shared" si="5"/>
        <v>6.3323232933930385E-2</v>
      </c>
      <c r="O66" s="71">
        <f t="shared" si="2"/>
        <v>5.7730834039046997E-2</v>
      </c>
    </row>
    <row r="67" spans="1:15" x14ac:dyDescent="0.2">
      <c r="A67" s="4">
        <f t="shared" si="3"/>
        <v>59</v>
      </c>
      <c r="G67"/>
      <c r="H67"/>
      <c r="I67"/>
      <c r="J67"/>
      <c r="K67" s="4">
        <f t="shared" si="4"/>
        <v>14.75</v>
      </c>
      <c r="L67" s="31">
        <f t="shared" si="7"/>
        <v>4.2960347910831191E-2</v>
      </c>
      <c r="M67" s="31">
        <f t="shared" si="8"/>
        <v>4.3419026893283114E-2</v>
      </c>
      <c r="N67" s="71">
        <f t="shared" si="5"/>
        <v>6.4050399209875764E-2</v>
      </c>
      <c r="O67" s="71">
        <f t="shared" si="2"/>
        <v>5.625905324116065E-2</v>
      </c>
    </row>
    <row r="68" spans="1:15" x14ac:dyDescent="0.2">
      <c r="A68" s="4">
        <f t="shared" si="3"/>
        <v>60</v>
      </c>
      <c r="G68"/>
      <c r="H68"/>
      <c r="I68"/>
      <c r="J68"/>
      <c r="K68" s="4">
        <f t="shared" si="4"/>
        <v>15</v>
      </c>
      <c r="L68" s="31">
        <f t="shared" si="7"/>
        <v>4.3322073391957018E-2</v>
      </c>
      <c r="M68" s="31">
        <f t="shared" si="8"/>
        <v>4.3603783072787734E-2</v>
      </c>
      <c r="N68" s="71">
        <f t="shared" si="5"/>
        <v>6.4777628871503179E-2</v>
      </c>
      <c r="O68" s="71">
        <f t="shared" si="2"/>
        <v>5.4534016858676537E-2</v>
      </c>
    </row>
    <row r="69" spans="1:15" x14ac:dyDescent="0.2">
      <c r="A69" s="4">
        <f t="shared" si="3"/>
        <v>61</v>
      </c>
      <c r="G69"/>
      <c r="H69"/>
      <c r="I69"/>
      <c r="J69"/>
      <c r="K69" s="4">
        <f t="shared" si="4"/>
        <v>15.25</v>
      </c>
      <c r="L69" s="31">
        <f t="shared" si="7"/>
        <v>4.3683798873082845E-2</v>
      </c>
      <c r="M69" s="31">
        <f t="shared" si="8"/>
        <v>4.3750063572053702E-2</v>
      </c>
      <c r="N69" s="71">
        <f t="shared" si="5"/>
        <v>6.5504921896254675E-2</v>
      </c>
      <c r="O69" s="71">
        <f t="shared" si="2"/>
        <v>5.2546081931185373E-2</v>
      </c>
    </row>
    <row r="70" spans="1:15" x14ac:dyDescent="0.2">
      <c r="A70" s="4">
        <f t="shared" si="3"/>
        <v>62</v>
      </c>
      <c r="G70"/>
      <c r="H70"/>
      <c r="I70"/>
      <c r="J70"/>
      <c r="K70" s="4">
        <f t="shared" si="4"/>
        <v>15.5</v>
      </c>
      <c r="L70" s="31">
        <f t="shared" si="7"/>
        <v>4.3744614159752788E-2</v>
      </c>
      <c r="M70" s="31">
        <f t="shared" si="8"/>
        <v>4.3855721536245798E-2</v>
      </c>
      <c r="N70" s="71">
        <f t="shared" si="5"/>
        <v>4.7457770868117866E-2</v>
      </c>
      <c r="O70" s="71">
        <f t="shared" si="2"/>
        <v>5.0311197276670772E-2</v>
      </c>
    </row>
    <row r="71" spans="1:15" x14ac:dyDescent="0.2">
      <c r="A71" s="4">
        <f t="shared" si="3"/>
        <v>63</v>
      </c>
      <c r="G71"/>
      <c r="H71"/>
      <c r="I71"/>
      <c r="J71"/>
      <c r="K71" s="4">
        <f t="shared" si="4"/>
        <v>15.75</v>
      </c>
      <c r="L71" s="31">
        <f t="shared" si="7"/>
        <v>4.369144831215914E-2</v>
      </c>
      <c r="M71" s="31">
        <f t="shared" si="8"/>
        <v>4.392248698325938E-2</v>
      </c>
      <c r="N71" s="71">
        <f t="shared" si="5"/>
        <v>4.0397865435911839E-2</v>
      </c>
      <c r="O71" s="71">
        <f t="shared" si="2"/>
        <v>4.8066206998377048E-2</v>
      </c>
    </row>
    <row r="72" spans="1:15" x14ac:dyDescent="0.2">
      <c r="A72" s="4">
        <f t="shared" si="3"/>
        <v>64</v>
      </c>
      <c r="G72"/>
      <c r="H72"/>
      <c r="I72"/>
      <c r="J72"/>
      <c r="K72" s="4">
        <f t="shared" si="4"/>
        <v>16</v>
      </c>
      <c r="L72" s="31">
        <f t="shared" si="7"/>
        <v>4.3638282464565491E-2</v>
      </c>
      <c r="M72" s="31">
        <f t="shared" si="8"/>
        <v>4.3954225697514254E-2</v>
      </c>
      <c r="N72" s="71">
        <f t="shared" si="5"/>
        <v>4.0291620875274603E-2</v>
      </c>
      <c r="O72" s="71">
        <f t="shared" si="2"/>
        <v>4.5954758598917511E-2</v>
      </c>
    </row>
    <row r="73" spans="1:15" x14ac:dyDescent="0.2">
      <c r="A73" s="4">
        <f t="shared" si="3"/>
        <v>65</v>
      </c>
      <c r="G73"/>
      <c r="H73"/>
      <c r="I73"/>
      <c r="J73"/>
      <c r="K73" s="4">
        <f t="shared" si="4"/>
        <v>16.25</v>
      </c>
      <c r="L73" s="31">
        <f t="shared" ref="L73:L104" si="9">PWLinear(K73,G$9:G$33,H$9:H$33)</f>
        <v>4.3585116616971842E-2</v>
      </c>
      <c r="M73" s="31">
        <f t="shared" ref="M73:M104" si="10">splint(G$9:G$21,H$9:H$21,I$9:I$21,K73)</f>
        <v>4.3954825734813817E-2</v>
      </c>
      <c r="N73" s="71">
        <f t="shared" si="5"/>
        <v>4.0185377700045599E-2</v>
      </c>
      <c r="O73" s="71">
        <f t="shared" si="2"/>
        <v>4.3993228488369951E-2</v>
      </c>
    </row>
    <row r="74" spans="1:15" x14ac:dyDescent="0.2">
      <c r="A74" s="4">
        <f t="shared" si="3"/>
        <v>66</v>
      </c>
      <c r="G74"/>
      <c r="H74"/>
      <c r="I74"/>
      <c r="J74"/>
      <c r="K74" s="4">
        <f t="shared" si="4"/>
        <v>16.5</v>
      </c>
      <c r="L74" s="31">
        <f t="shared" si="9"/>
        <v>4.3531950769378186E-2</v>
      </c>
      <c r="M74" s="31">
        <f t="shared" si="10"/>
        <v>4.3928175150961382E-2</v>
      </c>
      <c r="N74" s="71">
        <f t="shared" si="5"/>
        <v>4.0079135910285668E-2</v>
      </c>
      <c r="O74" s="71">
        <f t="shared" ref="O74:O128" si="11">2*(((1+M74/2)^$K74/(1+M73/2)^$K73)^(1/($K74-$K73))-1)</f>
        <v>4.2196632359075004E-2</v>
      </c>
    </row>
    <row r="75" spans="1:15" x14ac:dyDescent="0.2">
      <c r="A75" s="4">
        <f t="shared" ref="A75:A88" si="12">A74+1</f>
        <v>67</v>
      </c>
      <c r="G75"/>
      <c r="H75"/>
      <c r="I75"/>
      <c r="J75"/>
      <c r="K75" s="4">
        <f t="shared" ref="K75:K128" si="13">K74+0.25</f>
        <v>16.75</v>
      </c>
      <c r="L75" s="31">
        <f t="shared" si="9"/>
        <v>4.3478784921784537E-2</v>
      </c>
      <c r="M75" s="31">
        <f t="shared" si="10"/>
        <v>4.3878162001760326E-2</v>
      </c>
      <c r="N75" s="71">
        <f t="shared" ref="N75:N128" si="14">2*(((1+L75/2)^$K75/(1+L74/2)^$K74)^(1/($K75-$K74))-1)</f>
        <v>3.9972895506059647E-2</v>
      </c>
      <c r="O75" s="71">
        <f t="shared" si="11"/>
        <v>4.0579998494518765E-2</v>
      </c>
    </row>
    <row r="76" spans="1:15" x14ac:dyDescent="0.2">
      <c r="A76" s="4">
        <f t="shared" si="12"/>
        <v>68</v>
      </c>
      <c r="G76"/>
      <c r="H76"/>
      <c r="I76"/>
      <c r="J76"/>
      <c r="K76" s="4">
        <f t="shared" si="13"/>
        <v>17</v>
      </c>
      <c r="L76" s="31">
        <f t="shared" si="9"/>
        <v>4.3425619074190888E-2</v>
      </c>
      <c r="M76" s="31">
        <f t="shared" si="10"/>
        <v>4.380867434301397E-2</v>
      </c>
      <c r="N76" s="71">
        <f t="shared" si="14"/>
        <v>3.98666564874679E-2</v>
      </c>
      <c r="O76" s="71">
        <f t="shared" si="11"/>
        <v>3.9158378816988026E-2</v>
      </c>
    </row>
    <row r="77" spans="1:15" x14ac:dyDescent="0.2">
      <c r="A77" s="4">
        <f t="shared" si="12"/>
        <v>69</v>
      </c>
      <c r="G77"/>
      <c r="H77"/>
      <c r="I77"/>
      <c r="J77"/>
      <c r="K77" s="4">
        <f t="shared" si="13"/>
        <v>17.25</v>
      </c>
      <c r="L77" s="31">
        <f t="shared" si="9"/>
        <v>4.3372453226597239E-2</v>
      </c>
      <c r="M77" s="31">
        <f t="shared" si="10"/>
        <v>4.3723600230525669E-2</v>
      </c>
      <c r="N77" s="71">
        <f t="shared" si="14"/>
        <v>3.976041885449666E-2</v>
      </c>
      <c r="O77" s="71">
        <f t="shared" si="11"/>
        <v>3.7946860598271126E-2</v>
      </c>
    </row>
    <row r="78" spans="1:15" x14ac:dyDescent="0.2">
      <c r="A78" s="4">
        <f t="shared" si="12"/>
        <v>70</v>
      </c>
      <c r="G78"/>
      <c r="H78"/>
      <c r="I78"/>
      <c r="J78"/>
      <c r="K78" s="4">
        <f t="shared" si="13"/>
        <v>17.5</v>
      </c>
      <c r="L78" s="31">
        <f t="shared" si="9"/>
        <v>4.331928737900359E-2</v>
      </c>
      <c r="M78" s="31">
        <f t="shared" si="10"/>
        <v>4.3626827720098793E-2</v>
      </c>
      <c r="N78" s="71">
        <f t="shared" si="14"/>
        <v>3.9654182607300026E-2</v>
      </c>
      <c r="O78" s="71">
        <f t="shared" si="11"/>
        <v>3.6960578844897896E-2</v>
      </c>
    </row>
    <row r="79" spans="1:15" x14ac:dyDescent="0.2">
      <c r="A79" s="4">
        <f t="shared" si="12"/>
        <v>71</v>
      </c>
      <c r="G79"/>
      <c r="H79"/>
      <c r="I79"/>
      <c r="J79"/>
      <c r="K79" s="4">
        <f t="shared" si="13"/>
        <v>17.75</v>
      </c>
      <c r="L79" s="31">
        <f t="shared" si="9"/>
        <v>4.3266121531409941E-2</v>
      </c>
      <c r="M79" s="31">
        <f t="shared" si="10"/>
        <v>4.3522244867536662E-2</v>
      </c>
      <c r="N79" s="71">
        <f t="shared" si="14"/>
        <v>3.9547947745931289E-2</v>
      </c>
      <c r="O79" s="71">
        <f t="shared" si="11"/>
        <v>3.6214729367576748E-2</v>
      </c>
    </row>
    <row r="80" spans="1:15" x14ac:dyDescent="0.2">
      <c r="A80" s="4">
        <f t="shared" si="12"/>
        <v>72</v>
      </c>
      <c r="G80"/>
      <c r="H80"/>
      <c r="I80"/>
      <c r="J80"/>
      <c r="K80" s="4">
        <f t="shared" si="13"/>
        <v>18</v>
      </c>
      <c r="L80" s="31">
        <f t="shared" si="9"/>
        <v>4.3212955683816286E-2</v>
      </c>
      <c r="M80" s="31">
        <f t="shared" si="10"/>
        <v>4.3413739728642646E-2</v>
      </c>
      <c r="N80" s="71">
        <f t="shared" si="14"/>
        <v>3.9441714270457506E-2</v>
      </c>
      <c r="O80" s="71">
        <f t="shared" si="11"/>
        <v>3.5724582547820738E-2</v>
      </c>
    </row>
    <row r="81" spans="1:15" x14ac:dyDescent="0.2">
      <c r="A81" s="4">
        <f t="shared" si="12"/>
        <v>73</v>
      </c>
      <c r="G81"/>
      <c r="H81"/>
      <c r="I81"/>
      <c r="J81"/>
      <c r="K81" s="4">
        <f t="shared" si="13"/>
        <v>18.25</v>
      </c>
      <c r="L81" s="31">
        <f t="shared" si="9"/>
        <v>4.3159789836222637E-2</v>
      </c>
      <c r="M81" s="31">
        <f t="shared" si="10"/>
        <v>4.3305200359220072E-2</v>
      </c>
      <c r="N81" s="71">
        <f t="shared" si="14"/>
        <v>3.9335482180973713E-2</v>
      </c>
      <c r="O81" s="71">
        <f t="shared" si="11"/>
        <v>3.5505497813846265E-2</v>
      </c>
    </row>
    <row r="82" spans="1:15" x14ac:dyDescent="0.2">
      <c r="A82" s="4">
        <f t="shared" si="12"/>
        <v>74</v>
      </c>
      <c r="G82"/>
      <c r="H82"/>
      <c r="I82"/>
      <c r="J82"/>
      <c r="K82" s="4">
        <f t="shared" si="13"/>
        <v>18.5</v>
      </c>
      <c r="L82" s="31">
        <f t="shared" si="9"/>
        <v>4.3106623988628988E-2</v>
      </c>
      <c r="M82" s="31">
        <f t="shared" si="10"/>
        <v>4.3200514815072304E-2</v>
      </c>
      <c r="N82" s="71">
        <f t="shared" si="14"/>
        <v>3.9229251477472804E-2</v>
      </c>
      <c r="O82" s="71">
        <f t="shared" si="11"/>
        <v>3.5572938839255386E-2</v>
      </c>
    </row>
    <row r="83" spans="1:15" x14ac:dyDescent="0.2">
      <c r="A83" s="4">
        <f t="shared" si="12"/>
        <v>75</v>
      </c>
      <c r="G83"/>
      <c r="H83"/>
      <c r="I83"/>
      <c r="J83"/>
      <c r="K83" s="4">
        <f t="shared" si="13"/>
        <v>18.75</v>
      </c>
      <c r="L83" s="31">
        <f t="shared" si="9"/>
        <v>4.3053458141035339E-2</v>
      </c>
      <c r="M83" s="31">
        <f t="shared" si="10"/>
        <v>4.3103571152002675E-2</v>
      </c>
      <c r="N83" s="71">
        <f t="shared" si="14"/>
        <v>3.9123022160112875E-2</v>
      </c>
      <c r="O83" s="71">
        <f t="shared" si="11"/>
        <v>3.5942489479829032E-2</v>
      </c>
    </row>
    <row r="84" spans="1:15" x14ac:dyDescent="0.2">
      <c r="A84" s="4">
        <f t="shared" si="12"/>
        <v>76</v>
      </c>
      <c r="G84"/>
      <c r="H84"/>
      <c r="I84"/>
      <c r="J84"/>
      <c r="K84" s="4">
        <f t="shared" si="13"/>
        <v>19</v>
      </c>
      <c r="L84" s="31">
        <f t="shared" si="9"/>
        <v>4.300029229344169E-2</v>
      </c>
      <c r="M84" s="31">
        <f t="shared" si="10"/>
        <v>4.3018257425814561E-2</v>
      </c>
      <c r="N84" s="71">
        <f t="shared" si="14"/>
        <v>3.9016794228934781E-2</v>
      </c>
      <c r="O84" s="71">
        <f t="shared" si="11"/>
        <v>3.6629870463284142E-2</v>
      </c>
    </row>
    <row r="85" spans="1:15" x14ac:dyDescent="0.2">
      <c r="A85" s="4">
        <f t="shared" si="12"/>
        <v>77</v>
      </c>
      <c r="G85"/>
      <c r="H85"/>
      <c r="I85"/>
      <c r="J85"/>
      <c r="K85" s="4">
        <f t="shared" si="13"/>
        <v>19.25</v>
      </c>
      <c r="L85" s="31">
        <f t="shared" si="9"/>
        <v>4.2947126445848034E-2</v>
      </c>
      <c r="M85" s="31">
        <f t="shared" si="10"/>
        <v>4.2948461692311285E-2</v>
      </c>
      <c r="N85" s="71">
        <f t="shared" si="14"/>
        <v>3.8910567684005137E-2</v>
      </c>
      <c r="O85" s="71">
        <f t="shared" si="11"/>
        <v>3.7650956848149786E-2</v>
      </c>
    </row>
    <row r="86" spans="1:15" x14ac:dyDescent="0.2">
      <c r="A86" s="4">
        <f t="shared" si="12"/>
        <v>78</v>
      </c>
      <c r="J86"/>
      <c r="K86" s="4">
        <f t="shared" si="13"/>
        <v>19.5</v>
      </c>
      <c r="L86" s="31">
        <f t="shared" si="9"/>
        <v>4.2933646524651647E-2</v>
      </c>
      <c r="M86" s="31">
        <f t="shared" si="10"/>
        <v>4.2897665356789953E-2</v>
      </c>
      <c r="N86" s="71">
        <f t="shared" si="14"/>
        <v>4.1895959647306302E-2</v>
      </c>
      <c r="O86" s="71">
        <f t="shared" si="11"/>
        <v>3.8990137957657378E-2</v>
      </c>
    </row>
    <row r="87" spans="1:15" x14ac:dyDescent="0.2">
      <c r="A87" s="4">
        <f t="shared" si="12"/>
        <v>79</v>
      </c>
      <c r="K87" s="4">
        <f t="shared" si="13"/>
        <v>19.75</v>
      </c>
      <c r="L87" s="31">
        <f t="shared" si="9"/>
        <v>4.2935199151333009E-2</v>
      </c>
      <c r="M87" s="31">
        <f t="shared" si="10"/>
        <v>4.2865502632337106E-2</v>
      </c>
      <c r="N87" s="71">
        <f t="shared" si="14"/>
        <v>4.3056307668118077E-2</v>
      </c>
      <c r="O87" s="71">
        <f t="shared" si="11"/>
        <v>4.0358369588699983E-2</v>
      </c>
    </row>
    <row r="88" spans="1:15" x14ac:dyDescent="0.2">
      <c r="A88" s="4">
        <f t="shared" si="12"/>
        <v>80</v>
      </c>
      <c r="K88" s="4">
        <f t="shared" si="13"/>
        <v>20</v>
      </c>
      <c r="L88" s="31">
        <f t="shared" si="9"/>
        <v>4.293675177801437E-2</v>
      </c>
      <c r="M88" s="31">
        <f t="shared" si="10"/>
        <v>4.2849488316492795E-2</v>
      </c>
      <c r="N88" s="71">
        <f t="shared" si="14"/>
        <v>4.3059413014664649E-2</v>
      </c>
      <c r="O88" s="71">
        <f t="shared" si="11"/>
        <v>4.1584753985684397E-2</v>
      </c>
    </row>
    <row r="89" spans="1:15" x14ac:dyDescent="0.2">
      <c r="K89" s="4">
        <f t="shared" si="13"/>
        <v>20.25</v>
      </c>
      <c r="L89" s="31">
        <f t="shared" si="9"/>
        <v>4.2938304404695732E-2</v>
      </c>
      <c r="M89" s="31">
        <f t="shared" si="10"/>
        <v>4.2847115105918585E-2</v>
      </c>
      <c r="N89" s="71">
        <f t="shared" si="14"/>
        <v>4.3062518362463109E-2</v>
      </c>
      <c r="O89" s="71">
        <f t="shared" si="11"/>
        <v>4.2657267192377279E-2</v>
      </c>
    </row>
    <row r="90" spans="1:15" x14ac:dyDescent="0.2">
      <c r="K90" s="4">
        <f t="shared" si="13"/>
        <v>20.5</v>
      </c>
      <c r="L90" s="31">
        <f t="shared" si="9"/>
        <v>4.2939857031377093E-2</v>
      </c>
      <c r="M90" s="31">
        <f t="shared" si="10"/>
        <v>4.2855875697276072E-2</v>
      </c>
      <c r="N90" s="71">
        <f t="shared" si="14"/>
        <v>4.3065623711405987E-2</v>
      </c>
      <c r="O90" s="71">
        <f t="shared" si="11"/>
        <v>4.3565608378515641E-2</v>
      </c>
    </row>
    <row r="91" spans="1:15" x14ac:dyDescent="0.2">
      <c r="K91" s="4">
        <f t="shared" si="13"/>
        <v>20.75</v>
      </c>
      <c r="L91" s="31">
        <f t="shared" si="9"/>
        <v>4.2941409658058455E-2</v>
      </c>
      <c r="M91" s="31">
        <f t="shared" si="10"/>
        <v>4.2873262787226814E-2</v>
      </c>
      <c r="N91" s="71">
        <f t="shared" si="14"/>
        <v>4.3068729061525257E-2</v>
      </c>
      <c r="O91" s="71">
        <f t="shared" si="11"/>
        <v>4.4299507870019905E-2</v>
      </c>
    </row>
    <row r="92" spans="1:15" x14ac:dyDescent="0.2">
      <c r="K92" s="4">
        <f t="shared" si="13"/>
        <v>21</v>
      </c>
      <c r="L92" s="31">
        <f t="shared" si="9"/>
        <v>4.2942962284739816E-2</v>
      </c>
      <c r="M92" s="31">
        <f t="shared" si="10"/>
        <v>4.2896769072432395E-2</v>
      </c>
      <c r="N92" s="71">
        <f t="shared" si="14"/>
        <v>4.3071834412837351E-2</v>
      </c>
      <c r="O92" s="71">
        <f t="shared" si="11"/>
        <v>4.4848733915760608E-2</v>
      </c>
    </row>
    <row r="93" spans="1:15" x14ac:dyDescent="0.2">
      <c r="K93" s="4">
        <f t="shared" si="13"/>
        <v>21.25</v>
      </c>
      <c r="L93" s="31">
        <f t="shared" si="9"/>
        <v>4.2944514911421178E-2</v>
      </c>
      <c r="M93" s="31">
        <f t="shared" si="10"/>
        <v>4.2923887249554385E-2</v>
      </c>
      <c r="N93" s="71">
        <f t="shared" si="14"/>
        <v>4.3074939765303188E-2</v>
      </c>
      <c r="O93" s="71">
        <f t="shared" si="11"/>
        <v>4.5203099717225914E-2</v>
      </c>
    </row>
    <row r="94" spans="1:15" x14ac:dyDescent="0.2">
      <c r="K94" s="4">
        <f t="shared" si="13"/>
        <v>21.5</v>
      </c>
      <c r="L94" s="31">
        <f t="shared" si="9"/>
        <v>4.2946067538102539E-2</v>
      </c>
      <c r="M94" s="31">
        <f t="shared" si="10"/>
        <v>4.2952110015254362E-2</v>
      </c>
      <c r="N94" s="71">
        <f t="shared" si="14"/>
        <v>4.3078045118934316E-2</v>
      </c>
      <c r="O94" s="71">
        <f t="shared" si="11"/>
        <v>4.5352470715041893E-2</v>
      </c>
    </row>
    <row r="95" spans="1:15" x14ac:dyDescent="0.2">
      <c r="K95" s="4">
        <f t="shared" si="13"/>
        <v>21.75</v>
      </c>
      <c r="L95" s="31">
        <f t="shared" si="9"/>
        <v>4.2947620164783901E-2</v>
      </c>
      <c r="M95" s="31">
        <f t="shared" si="10"/>
        <v>4.2978930066193903E-2</v>
      </c>
      <c r="N95" s="71">
        <f t="shared" si="14"/>
        <v>4.3081150473814223E-2</v>
      </c>
      <c r="O95" s="71">
        <f t="shared" si="11"/>
        <v>4.5286772127978825E-2</v>
      </c>
    </row>
    <row r="96" spans="1:15" x14ac:dyDescent="0.2">
      <c r="K96" s="4">
        <f t="shared" si="13"/>
        <v>22</v>
      </c>
      <c r="L96" s="31">
        <f t="shared" si="9"/>
        <v>4.2949172791465262E-2</v>
      </c>
      <c r="M96" s="31">
        <f t="shared" si="10"/>
        <v>4.3001840099034586E-2</v>
      </c>
      <c r="N96" s="71">
        <f t="shared" si="14"/>
        <v>4.3084255829833218E-2</v>
      </c>
      <c r="O96" s="71">
        <f t="shared" si="11"/>
        <v>4.4995996738663724E-2</v>
      </c>
    </row>
    <row r="97" spans="11:15" x14ac:dyDescent="0.2">
      <c r="K97" s="4">
        <f t="shared" si="13"/>
        <v>22.25</v>
      </c>
      <c r="L97" s="31">
        <f t="shared" si="9"/>
        <v>4.2950725418146624E-2</v>
      </c>
      <c r="M97" s="31">
        <f t="shared" si="10"/>
        <v>4.301833281043798E-2</v>
      </c>
      <c r="N97" s="71">
        <f t="shared" si="14"/>
        <v>4.3087361187040596E-2</v>
      </c>
      <c r="O97" s="71">
        <f t="shared" si="11"/>
        <v>4.4470212920411978E-2</v>
      </c>
    </row>
    <row r="98" spans="11:15" x14ac:dyDescent="0.2">
      <c r="K98" s="4">
        <f t="shared" si="13"/>
        <v>22.5</v>
      </c>
      <c r="L98" s="31">
        <f t="shared" si="9"/>
        <v>4.2952278044827985E-2</v>
      </c>
      <c r="M98" s="31">
        <f t="shared" si="10"/>
        <v>4.3025900897065664E-2</v>
      </c>
      <c r="N98" s="71">
        <f t="shared" si="14"/>
        <v>4.3090466545419481E-2</v>
      </c>
      <c r="O98" s="71">
        <f t="shared" si="11"/>
        <v>4.3699572899135841E-2</v>
      </c>
    </row>
    <row r="99" spans="11:15" x14ac:dyDescent="0.2">
      <c r="K99" s="4">
        <f t="shared" si="13"/>
        <v>22.75</v>
      </c>
      <c r="L99" s="31">
        <f t="shared" si="9"/>
        <v>4.2953830671509347E-2</v>
      </c>
      <c r="M99" s="31">
        <f t="shared" si="10"/>
        <v>4.3022037055579214E-2</v>
      </c>
      <c r="N99" s="71">
        <f t="shared" si="14"/>
        <v>4.3093571904939232E-2</v>
      </c>
      <c r="O99" s="71">
        <f t="shared" si="11"/>
        <v>4.2674321244060565E-2</v>
      </c>
    </row>
    <row r="100" spans="11:15" x14ac:dyDescent="0.2">
      <c r="K100" s="4">
        <f t="shared" si="13"/>
        <v>23</v>
      </c>
      <c r="L100" s="31">
        <f t="shared" si="9"/>
        <v>4.2955383298190708E-2</v>
      </c>
      <c r="M100" s="31">
        <f t="shared" si="10"/>
        <v>4.3004233982640201E-2</v>
      </c>
      <c r="N100" s="71">
        <f t="shared" si="14"/>
        <v>4.3096677265715755E-2</v>
      </c>
      <c r="O100" s="71">
        <f t="shared" si="11"/>
        <v>4.1384803581182794E-2</v>
      </c>
    </row>
    <row r="101" spans="11:15" x14ac:dyDescent="0.2">
      <c r="K101" s="4">
        <f t="shared" si="13"/>
        <v>23.25</v>
      </c>
      <c r="L101" s="31">
        <f t="shared" si="9"/>
        <v>4.2956935924872069E-2</v>
      </c>
      <c r="M101" s="31">
        <f t="shared" si="10"/>
        <v>4.296998437491021E-2</v>
      </c>
      <c r="N101" s="71">
        <f t="shared" si="14"/>
        <v>4.3099782627647354E-2</v>
      </c>
      <c r="O101" s="71">
        <f t="shared" si="11"/>
        <v>3.9821475522557215E-2</v>
      </c>
    </row>
    <row r="102" spans="11:15" x14ac:dyDescent="0.2">
      <c r="K102" s="4">
        <f t="shared" si="13"/>
        <v>23.5</v>
      </c>
      <c r="L102" s="31">
        <f t="shared" si="9"/>
        <v>4.2870744756577144E-2</v>
      </c>
      <c r="M102" s="31">
        <f t="shared" si="10"/>
        <v>4.2917069003676617E-2</v>
      </c>
      <c r="N102" s="71">
        <f t="shared" si="14"/>
        <v>3.4870840069874731E-2</v>
      </c>
      <c r="O102" s="71">
        <f t="shared" si="11"/>
        <v>3.8001925491452759E-2</v>
      </c>
    </row>
    <row r="103" spans="11:15" x14ac:dyDescent="0.2">
      <c r="K103" s="4">
        <f t="shared" si="13"/>
        <v>23.75</v>
      </c>
      <c r="L103" s="31">
        <f t="shared" si="9"/>
        <v>4.2751317302306351E-2</v>
      </c>
      <c r="M103" s="31">
        <f t="shared" si="10"/>
        <v>4.2845994023423151E-2</v>
      </c>
      <c r="N103" s="71">
        <f t="shared" si="14"/>
        <v>3.1556253922305544E-2</v>
      </c>
      <c r="O103" s="71">
        <f t="shared" si="11"/>
        <v>3.6175974874848915E-2</v>
      </c>
    </row>
    <row r="104" spans="11:15" x14ac:dyDescent="0.2">
      <c r="K104" s="4">
        <f t="shared" si="13"/>
        <v>24</v>
      </c>
      <c r="L104" s="31">
        <f t="shared" si="9"/>
        <v>4.2631889848035551E-2</v>
      </c>
      <c r="M104" s="31">
        <f t="shared" si="10"/>
        <v>4.2758767000364517E-2</v>
      </c>
      <c r="N104" s="71">
        <f t="shared" si="14"/>
        <v>3.1318062320218498E-2</v>
      </c>
      <c r="O104" s="71">
        <f t="shared" si="11"/>
        <v>3.4489160771132177E-2</v>
      </c>
    </row>
    <row r="105" spans="11:15" x14ac:dyDescent="0.2">
      <c r="K105" s="4">
        <f t="shared" si="13"/>
        <v>24.25</v>
      </c>
      <c r="L105" s="31">
        <f t="shared" ref="L105:L128" si="15">PWLinear(K105,G$9:G$33,H$9:H$33)</f>
        <v>4.2512462393764758E-2</v>
      </c>
      <c r="M105" s="31">
        <f t="shared" ref="M105:M128" si="16">splint(G$9:G$21,H$9:H$21,I$9:I$21,K105)</f>
        <v>4.2657411157162942E-2</v>
      </c>
      <c r="N105" s="71">
        <f t="shared" si="14"/>
        <v>3.1079877739491835E-2</v>
      </c>
      <c r="O105" s="71">
        <f t="shared" si="11"/>
        <v>3.2950628425597817E-2</v>
      </c>
    </row>
    <row r="106" spans="11:15" x14ac:dyDescent="0.2">
      <c r="K106" s="4">
        <f t="shared" si="13"/>
        <v>24.5</v>
      </c>
      <c r="L106" s="31">
        <f t="shared" si="15"/>
        <v>4.2393034939493965E-2</v>
      </c>
      <c r="M106" s="31">
        <f t="shared" si="16"/>
        <v>4.2543949716480636E-2</v>
      </c>
      <c r="N106" s="71">
        <f t="shared" si="14"/>
        <v>3.0841700180762377E-2</v>
      </c>
      <c r="O106" s="71">
        <f t="shared" si="11"/>
        <v>3.1568091764876627E-2</v>
      </c>
    </row>
    <row r="107" spans="11:15" x14ac:dyDescent="0.2">
      <c r="K107" s="4">
        <f t="shared" si="13"/>
        <v>24.75</v>
      </c>
      <c r="L107" s="31">
        <f t="shared" si="15"/>
        <v>4.2273607485223172E-2</v>
      </c>
      <c r="M107" s="31">
        <f t="shared" si="16"/>
        <v>4.242040590097982E-2</v>
      </c>
      <c r="N107" s="71">
        <f t="shared" si="14"/>
        <v>3.0603529645012451E-2</v>
      </c>
      <c r="O107" s="71">
        <f t="shared" si="11"/>
        <v>3.0349290680529606E-2</v>
      </c>
    </row>
    <row r="108" spans="11:15" x14ac:dyDescent="0.2">
      <c r="K108" s="4">
        <f t="shared" si="13"/>
        <v>25</v>
      </c>
      <c r="L108" s="31">
        <f t="shared" si="15"/>
        <v>4.2154180030952379E-2</v>
      </c>
      <c r="M108" s="31">
        <f t="shared" si="16"/>
        <v>4.2288802933322697E-2</v>
      </c>
      <c r="N108" s="71">
        <f t="shared" si="14"/>
        <v>3.0365366133015659E-2</v>
      </c>
      <c r="O108" s="71">
        <f t="shared" si="11"/>
        <v>2.9301995990531182E-2</v>
      </c>
    </row>
    <row r="109" spans="11:15" x14ac:dyDescent="0.2">
      <c r="K109" s="4">
        <f t="shared" si="13"/>
        <v>25.25</v>
      </c>
      <c r="L109" s="31">
        <f t="shared" si="15"/>
        <v>4.2034752576681586E-2</v>
      </c>
      <c r="M109" s="31">
        <f t="shared" si="16"/>
        <v>4.2151164036171473E-2</v>
      </c>
      <c r="N109" s="71">
        <f t="shared" si="14"/>
        <v>3.0127209645564701E-2</v>
      </c>
      <c r="O109" s="71">
        <f t="shared" si="11"/>
        <v>2.8434014592753076E-2</v>
      </c>
    </row>
    <row r="110" spans="11:15" x14ac:dyDescent="0.2">
      <c r="K110" s="4">
        <f t="shared" si="13"/>
        <v>25.5</v>
      </c>
      <c r="L110" s="31">
        <f t="shared" si="15"/>
        <v>4.1915325122410786E-2</v>
      </c>
      <c r="M110" s="31">
        <f t="shared" si="16"/>
        <v>4.2009512432188381E-2</v>
      </c>
      <c r="N110" s="71">
        <f t="shared" si="14"/>
        <v>2.9889060183517557E-2</v>
      </c>
      <c r="O110" s="71">
        <f t="shared" si="11"/>
        <v>2.7753194813407323E-2</v>
      </c>
    </row>
    <row r="111" spans="11:15" x14ac:dyDescent="0.2">
      <c r="K111" s="4">
        <f t="shared" si="13"/>
        <v>25.75</v>
      </c>
      <c r="L111" s="31">
        <f t="shared" si="15"/>
        <v>4.1795897668139993E-2</v>
      </c>
      <c r="M111" s="31">
        <f t="shared" si="16"/>
        <v>4.1865871344035611E-2</v>
      </c>
      <c r="N111" s="71">
        <f t="shared" si="14"/>
        <v>2.9650917747674033E-2</v>
      </c>
      <c r="O111" s="71">
        <f t="shared" si="11"/>
        <v>2.7267431954113963E-2</v>
      </c>
    </row>
    <row r="112" spans="11:15" x14ac:dyDescent="0.2">
      <c r="K112" s="4">
        <f t="shared" si="13"/>
        <v>26</v>
      </c>
      <c r="L112" s="31">
        <f t="shared" si="15"/>
        <v>4.16764702138692E-2</v>
      </c>
      <c r="M112" s="31">
        <f t="shared" si="16"/>
        <v>4.1722263994375404E-2</v>
      </c>
      <c r="N112" s="71">
        <f t="shared" si="14"/>
        <v>2.9412782338841037E-2</v>
      </c>
      <c r="O112" s="71">
        <f t="shared" si="11"/>
        <v>2.6984674041924617E-2</v>
      </c>
    </row>
    <row r="113" spans="11:15" x14ac:dyDescent="0.2">
      <c r="K113" s="4">
        <f t="shared" si="13"/>
        <v>26.25</v>
      </c>
      <c r="L113" s="31">
        <f t="shared" si="15"/>
        <v>4.1557042759598407E-2</v>
      </c>
      <c r="M113" s="31">
        <f t="shared" si="16"/>
        <v>4.1580713605869943E-2</v>
      </c>
      <c r="N113" s="71">
        <f t="shared" si="14"/>
        <v>2.9174653957926733E-2</v>
      </c>
      <c r="O113" s="71">
        <f t="shared" si="11"/>
        <v>2.6912927785901264E-2</v>
      </c>
    </row>
    <row r="114" spans="11:15" x14ac:dyDescent="0.2">
      <c r="K114" s="4">
        <f t="shared" si="13"/>
        <v>26.5</v>
      </c>
      <c r="L114" s="31">
        <f t="shared" si="15"/>
        <v>4.1437615305327614E-2</v>
      </c>
      <c r="M114" s="31">
        <f t="shared" si="16"/>
        <v>4.1443243401181468E-2</v>
      </c>
      <c r="N114" s="71">
        <f t="shared" si="14"/>
        <v>2.8936532605554621E-2</v>
      </c>
      <c r="O114" s="71">
        <f t="shared" si="11"/>
        <v>2.706026474438028E-2</v>
      </c>
    </row>
    <row r="115" spans="11:15" x14ac:dyDescent="0.2">
      <c r="K115" s="4">
        <f t="shared" si="13"/>
        <v>26.75</v>
      </c>
      <c r="L115" s="31">
        <f t="shared" si="15"/>
        <v>4.1318187851056815E-2</v>
      </c>
      <c r="M115" s="31">
        <f t="shared" si="16"/>
        <v>4.1311876602972177E-2</v>
      </c>
      <c r="N115" s="71">
        <f t="shared" si="14"/>
        <v>2.8698418282724791E-2</v>
      </c>
      <c r="O115" s="71">
        <f t="shared" si="11"/>
        <v>2.7434827708915144E-2</v>
      </c>
    </row>
    <row r="116" spans="11:15" x14ac:dyDescent="0.2">
      <c r="K116" s="4">
        <f t="shared" si="13"/>
        <v>27</v>
      </c>
      <c r="L116" s="31">
        <f t="shared" si="15"/>
        <v>4.1198760396786022E-2</v>
      </c>
      <c r="M116" s="31">
        <f t="shared" si="16"/>
        <v>4.1188636433904295E-2</v>
      </c>
      <c r="N116" s="71">
        <f t="shared" si="14"/>
        <v>2.8460310990200632E-2</v>
      </c>
      <c r="O116" s="71">
        <f t="shared" si="11"/>
        <v>2.804483730696683E-2</v>
      </c>
    </row>
    <row r="117" spans="11:15" x14ac:dyDescent="0.2">
      <c r="K117" s="4">
        <f t="shared" si="13"/>
        <v>27.25</v>
      </c>
      <c r="L117" s="31">
        <f t="shared" si="15"/>
        <v>4.1079332942515229E-2</v>
      </c>
      <c r="M117" s="31">
        <f t="shared" si="16"/>
        <v>4.1075546116640008E-2</v>
      </c>
      <c r="N117" s="71">
        <f t="shared" si="14"/>
        <v>2.8222210728785058E-2</v>
      </c>
      <c r="O117" s="71">
        <f t="shared" si="11"/>
        <v>2.8898598830960243E-2</v>
      </c>
    </row>
    <row r="118" spans="11:15" x14ac:dyDescent="0.2">
      <c r="K118" s="4">
        <f t="shared" si="13"/>
        <v>27.5</v>
      </c>
      <c r="L118" s="31">
        <f t="shared" si="15"/>
        <v>4.1020894525821215E-2</v>
      </c>
      <c r="M118" s="31">
        <f t="shared" si="16"/>
        <v>4.0974450678864315E-2</v>
      </c>
      <c r="N118" s="71">
        <f t="shared" si="14"/>
        <v>3.4661127358522226E-2</v>
      </c>
      <c r="O118" s="71">
        <f t="shared" si="11"/>
        <v>2.998501329847203E-2</v>
      </c>
    </row>
    <row r="119" spans="11:15" x14ac:dyDescent="0.2">
      <c r="K119" s="4">
        <f t="shared" si="13"/>
        <v>27.75</v>
      </c>
      <c r="L119" s="31">
        <f t="shared" si="15"/>
        <v>4.0985558017300229E-2</v>
      </c>
      <c r="M119" s="31">
        <f t="shared" si="16"/>
        <v>4.0885509301772677E-2</v>
      </c>
      <c r="N119" s="71">
        <f t="shared" si="14"/>
        <v>3.7102274687675241E-2</v>
      </c>
      <c r="O119" s="71">
        <f t="shared" si="11"/>
        <v>3.1125582637533178E-2</v>
      </c>
    </row>
    <row r="120" spans="11:15" x14ac:dyDescent="0.2">
      <c r="K120" s="4">
        <f t="shared" si="13"/>
        <v>28</v>
      </c>
      <c r="L120" s="31">
        <f t="shared" si="15"/>
        <v>4.0950221508779236E-2</v>
      </c>
      <c r="M120" s="31">
        <f t="shared" si="16"/>
        <v>4.0807952434887371E-2</v>
      </c>
      <c r="N120" s="71">
        <f t="shared" si="14"/>
        <v>3.7031669579999704E-2</v>
      </c>
      <c r="O120" s="71">
        <f t="shared" si="11"/>
        <v>3.2217435022142471E-2</v>
      </c>
    </row>
    <row r="121" spans="11:15" x14ac:dyDescent="0.2">
      <c r="K121" s="4">
        <f t="shared" si="13"/>
        <v>28.25</v>
      </c>
      <c r="L121" s="31">
        <f t="shared" si="15"/>
        <v>4.091488500025825E-2</v>
      </c>
      <c r="M121" s="31">
        <f t="shared" si="16"/>
        <v>4.0741000843086288E-2</v>
      </c>
      <c r="N121" s="71">
        <f t="shared" si="14"/>
        <v>3.6961065085386657E-2</v>
      </c>
      <c r="O121" s="71">
        <f t="shared" si="11"/>
        <v>3.3256304788267688E-2</v>
      </c>
    </row>
    <row r="122" spans="11:15" x14ac:dyDescent="0.2">
      <c r="K122" s="4">
        <f t="shared" si="13"/>
        <v>28.5</v>
      </c>
      <c r="L122" s="31">
        <f t="shared" si="15"/>
        <v>4.0879548491737257E-2</v>
      </c>
      <c r="M122" s="31">
        <f t="shared" si="16"/>
        <v>4.0683875291247319E-2</v>
      </c>
      <c r="N122" s="71">
        <f t="shared" si="14"/>
        <v>3.689046120374373E-2</v>
      </c>
      <c r="O122" s="71">
        <f t="shared" si="11"/>
        <v>3.4238976917186914E-2</v>
      </c>
    </row>
    <row r="123" spans="11:15" x14ac:dyDescent="0.2">
      <c r="K123" s="4">
        <f t="shared" si="13"/>
        <v>28.75</v>
      </c>
      <c r="L123" s="31">
        <f t="shared" si="15"/>
        <v>4.0844211983216271E-2</v>
      </c>
      <c r="M123" s="31">
        <f t="shared" si="16"/>
        <v>4.0635796544248384E-2</v>
      </c>
      <c r="N123" s="71">
        <f t="shared" si="14"/>
        <v>3.6819857935135758E-2</v>
      </c>
      <c r="O123" s="71">
        <f t="shared" si="11"/>
        <v>3.5162237917440109E-2</v>
      </c>
    </row>
    <row r="124" spans="11:15" x14ac:dyDescent="0.2">
      <c r="K124" s="4">
        <f t="shared" si="13"/>
        <v>29</v>
      </c>
      <c r="L124" s="31">
        <f t="shared" si="15"/>
        <v>4.0808875474695278E-2</v>
      </c>
      <c r="M124" s="31">
        <f t="shared" si="16"/>
        <v>4.0595985366967374E-2</v>
      </c>
      <c r="N124" s="71">
        <f t="shared" si="14"/>
        <v>3.6749255279588056E-2</v>
      </c>
      <c r="O124" s="71">
        <f t="shared" si="11"/>
        <v>3.6022876625660505E-2</v>
      </c>
    </row>
    <row r="125" spans="11:15" x14ac:dyDescent="0.2">
      <c r="K125" s="4">
        <f t="shared" si="13"/>
        <v>29.25</v>
      </c>
      <c r="L125" s="31">
        <f t="shared" si="15"/>
        <v>4.0773538966174291E-2</v>
      </c>
      <c r="M125" s="31">
        <f t="shared" si="16"/>
        <v>4.056366252428218E-2</v>
      </c>
      <c r="N125" s="71">
        <f t="shared" si="14"/>
        <v>3.6678653237069536E-2</v>
      </c>
      <c r="O125" s="71">
        <f t="shared" si="11"/>
        <v>3.6817685033010861E-2</v>
      </c>
    </row>
    <row r="126" spans="11:15" x14ac:dyDescent="0.2">
      <c r="K126" s="4">
        <f t="shared" si="13"/>
        <v>29.5</v>
      </c>
      <c r="L126" s="31">
        <f t="shared" si="15"/>
        <v>4.0738202457653298E-2</v>
      </c>
      <c r="M126" s="31">
        <f t="shared" si="16"/>
        <v>4.0538048781070708E-2</v>
      </c>
      <c r="N126" s="71">
        <f t="shared" si="14"/>
        <v>3.6608051807727637E-2</v>
      </c>
      <c r="O126" s="71">
        <f t="shared" si="11"/>
        <v>3.7543459139577795E-2</v>
      </c>
    </row>
    <row r="127" spans="11:15" x14ac:dyDescent="0.2">
      <c r="K127" s="4">
        <f t="shared" si="13"/>
        <v>29.75</v>
      </c>
      <c r="L127" s="31">
        <f t="shared" si="15"/>
        <v>4.0702865949132312E-2</v>
      </c>
      <c r="M127" s="31">
        <f t="shared" si="16"/>
        <v>4.0518364902210856E-2</v>
      </c>
      <c r="N127" s="71">
        <f t="shared" si="14"/>
        <v>3.6537450991380283E-2</v>
      </c>
      <c r="O127" s="71">
        <f t="shared" si="11"/>
        <v>3.8196999834949175E-2</v>
      </c>
    </row>
    <row r="128" spans="11:15" x14ac:dyDescent="0.2">
      <c r="K128" s="4">
        <f t="shared" si="13"/>
        <v>30</v>
      </c>
      <c r="L128" s="31">
        <f t="shared" si="15"/>
        <v>4.0667529440611319E-2</v>
      </c>
      <c r="M128" s="31">
        <f t="shared" si="16"/>
        <v>4.0503831652580521E-2</v>
      </c>
      <c r="N128" s="71">
        <f t="shared" si="14"/>
        <v>3.6466850788221095E-2</v>
      </c>
      <c r="O128" s="71">
        <f t="shared" si="11"/>
        <v>3.8775113805480821E-2</v>
      </c>
    </row>
  </sheetData>
  <mergeCells count="2">
    <mergeCell ref="N6:O6"/>
    <mergeCell ref="L6:M6"/>
  </mergeCells>
  <phoneticPr fontId="14" type="noConversion"/>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A9D437-D551-423B-A9C5-4B10F93F6E10}">
  <sheetPr codeName="Sheet6"/>
  <dimension ref="A1:O70"/>
  <sheetViews>
    <sheetView zoomScale="121" workbookViewId="0">
      <selection activeCell="D92" sqref="D92"/>
    </sheetView>
  </sheetViews>
  <sheetFormatPr defaultColWidth="8.7109375" defaultRowHeight="12.75" x14ac:dyDescent="0.2"/>
  <cols>
    <col min="1" max="1" width="16.42578125" style="4" bestFit="1" customWidth="1"/>
    <col min="2" max="2" width="10" style="4" bestFit="1" customWidth="1"/>
    <col min="3" max="5" width="8.7109375" style="4"/>
    <col min="6" max="6" width="3.5703125" style="4" customWidth="1"/>
    <col min="7" max="9" width="8.7109375" style="4"/>
    <col min="10" max="10" width="36.140625" style="4" customWidth="1"/>
    <col min="11" max="16384" width="8.7109375" style="4"/>
  </cols>
  <sheetData>
    <row r="1" spans="1:15" x14ac:dyDescent="0.2">
      <c r="A1" s="3" t="s">
        <v>86</v>
      </c>
    </row>
    <row r="2" spans="1:15" x14ac:dyDescent="0.2">
      <c r="A2" s="3"/>
    </row>
    <row r="3" spans="1:15" x14ac:dyDescent="0.2">
      <c r="G3" s="43" t="s">
        <v>32</v>
      </c>
      <c r="H3" s="43" t="s">
        <v>40</v>
      </c>
      <c r="J3" s="39" t="s">
        <v>45</v>
      </c>
      <c r="K3" s="40"/>
      <c r="L3" s="40"/>
      <c r="M3" s="40"/>
      <c r="N3" s="40"/>
      <c r="O3" s="40"/>
    </row>
    <row r="4" spans="1:15" x14ac:dyDescent="0.2">
      <c r="A4" s="46" t="s">
        <v>0</v>
      </c>
      <c r="B4" s="47">
        <v>40214</v>
      </c>
      <c r="C4" s="3"/>
      <c r="D4" s="33" t="s">
        <v>93</v>
      </c>
      <c r="E4" s="3"/>
      <c r="G4" s="30"/>
      <c r="H4" s="30"/>
      <c r="J4" s="39"/>
      <c r="K4" s="40"/>
      <c r="L4" s="40"/>
      <c r="M4" s="40"/>
      <c r="N4" s="40"/>
      <c r="O4" s="40"/>
    </row>
    <row r="5" spans="1:15" x14ac:dyDescent="0.2">
      <c r="A5" s="46" t="s">
        <v>33</v>
      </c>
      <c r="B5" s="48">
        <v>100</v>
      </c>
      <c r="G5" s="49">
        <v>0.24931506849315069</v>
      </c>
      <c r="H5" s="49">
        <v>1.5002820207405954E-3</v>
      </c>
      <c r="J5" s="39" t="s">
        <v>98</v>
      </c>
      <c r="K5" s="40"/>
      <c r="L5" s="40"/>
      <c r="M5" s="40"/>
      <c r="N5" s="40"/>
      <c r="O5" s="40"/>
    </row>
    <row r="6" spans="1:15" x14ac:dyDescent="0.2">
      <c r="A6" s="46" t="s">
        <v>38</v>
      </c>
      <c r="B6" s="48">
        <v>2</v>
      </c>
      <c r="G6" s="49">
        <v>0.49863013698630138</v>
      </c>
      <c r="H6" s="49">
        <v>2.3000036219071873E-3</v>
      </c>
      <c r="J6" s="39" t="s">
        <v>41</v>
      </c>
      <c r="K6" s="40"/>
      <c r="L6" s="40"/>
      <c r="M6" s="40"/>
      <c r="N6" s="40"/>
      <c r="O6" s="40"/>
    </row>
    <row r="7" spans="1:15" x14ac:dyDescent="0.2">
      <c r="A7" s="46" t="s">
        <v>57</v>
      </c>
      <c r="B7" s="48">
        <v>2.5</v>
      </c>
      <c r="G7" s="49">
        <v>1.0662983425414365</v>
      </c>
      <c r="H7" s="49">
        <v>8.47854472710745E-3</v>
      </c>
      <c r="J7" s="39" t="s">
        <v>50</v>
      </c>
      <c r="K7" s="40"/>
      <c r="L7" s="40"/>
      <c r="M7" s="40"/>
      <c r="N7" s="40"/>
      <c r="O7" s="40"/>
    </row>
    <row r="8" spans="1:15" x14ac:dyDescent="0.2">
      <c r="A8" s="46" t="s">
        <v>58</v>
      </c>
      <c r="B8" s="50">
        <v>42156</v>
      </c>
      <c r="G8" s="49">
        <v>1.3186813186813187</v>
      </c>
      <c r="H8" s="49">
        <v>8.205872331697027E-3</v>
      </c>
      <c r="J8" s="39" t="s">
        <v>42</v>
      </c>
      <c r="K8" s="40"/>
      <c r="L8" s="40"/>
      <c r="M8" s="40"/>
      <c r="N8" s="40"/>
      <c r="O8" s="40"/>
    </row>
    <row r="9" spans="1:15" x14ac:dyDescent="0.2">
      <c r="A9" s="3"/>
      <c r="G9" s="49">
        <v>1.5662983425414365</v>
      </c>
      <c r="H9" s="49">
        <v>9.706145333122921E-3</v>
      </c>
      <c r="J9" s="39" t="s">
        <v>43</v>
      </c>
      <c r="K9" s="40"/>
      <c r="L9" s="40"/>
      <c r="M9" s="40"/>
      <c r="N9" s="40"/>
      <c r="O9" s="40"/>
    </row>
    <row r="10" spans="1:15" x14ac:dyDescent="0.2">
      <c r="A10" s="68" t="s">
        <v>59</v>
      </c>
      <c r="B10" s="53">
        <f>COUPDAYBS($B$4,$B$8,$B$6,1)/COUPDAYS($B$4,$B$8,$B$6,1)</f>
        <v>0.36263736263736263</v>
      </c>
      <c r="G10" s="49">
        <v>2.3186813186813189</v>
      </c>
      <c r="H10" s="49">
        <v>1.4327696323998931E-2</v>
      </c>
      <c r="J10" s="39" t="s">
        <v>44</v>
      </c>
      <c r="K10" s="40"/>
      <c r="L10" s="40"/>
      <c r="M10" s="40"/>
      <c r="N10" s="40"/>
      <c r="O10" s="40"/>
    </row>
    <row r="11" spans="1:15" x14ac:dyDescent="0.2">
      <c r="A11" s="68" t="s">
        <v>60</v>
      </c>
      <c r="B11" s="69">
        <f>$B$10*$B$5*$B$7/100/$B$6</f>
        <v>0.4532967032967033</v>
      </c>
      <c r="G11" s="49">
        <v>3.3186813186813189</v>
      </c>
      <c r="H11" s="49">
        <v>1.9745926431623626E-2</v>
      </c>
      <c r="J11" s="39" t="s">
        <v>99</v>
      </c>
      <c r="K11" s="40"/>
      <c r="L11" s="40"/>
      <c r="M11" s="40"/>
      <c r="N11" s="40"/>
      <c r="O11" s="40"/>
    </row>
    <row r="12" spans="1:15" x14ac:dyDescent="0.2">
      <c r="A12" s="68" t="s">
        <v>87</v>
      </c>
      <c r="B12" s="6">
        <f>COUPNUM($B$4,$B$8,$B$6,1)</f>
        <v>11</v>
      </c>
      <c r="G12" s="49">
        <v>4.1049723756906076</v>
      </c>
      <c r="H12" s="49">
        <v>2.4130108327770086E-2</v>
      </c>
    </row>
    <row r="13" spans="1:15" x14ac:dyDescent="0.2">
      <c r="A13" s="68" t="s">
        <v>88</v>
      </c>
      <c r="B13" s="53">
        <f>(B12-B10)/B6</f>
        <v>5.3186813186813184</v>
      </c>
      <c r="G13" s="49">
        <v>4.3186813186813184</v>
      </c>
      <c r="H13" s="49">
        <v>2.330542174421248E-2</v>
      </c>
    </row>
    <row r="14" spans="1:15" x14ac:dyDescent="0.2">
      <c r="A14" s="68" t="s">
        <v>89</v>
      </c>
      <c r="B14" s="6">
        <f>Bond_ZeroRates(B5,B13,B7/B5,B6,G5:G14,H5:H14)</f>
        <v>100.1432966680339</v>
      </c>
      <c r="G14" s="49">
        <v>5.3186813186813184</v>
      </c>
      <c r="H14" s="49">
        <v>2.605337626258776E-2</v>
      </c>
    </row>
    <row r="15" spans="1:15" x14ac:dyDescent="0.2">
      <c r="A15" s="68" t="s">
        <v>90</v>
      </c>
      <c r="B15" s="53">
        <f>B10*B5*B7/100/B6</f>
        <v>0.4532967032967033</v>
      </c>
      <c r="J15" s="46" t="s">
        <v>94</v>
      </c>
      <c r="K15" s="48"/>
    </row>
    <row r="16" spans="1:15" x14ac:dyDescent="0.2">
      <c r="A16" s="68" t="s">
        <v>91</v>
      </c>
      <c r="B16" s="69">
        <f>B14-B15</f>
        <v>99.689999964737197</v>
      </c>
      <c r="J16" s="48"/>
      <c r="K16" s="48"/>
    </row>
    <row r="17" spans="1:11" x14ac:dyDescent="0.2">
      <c r="A17" s="3"/>
      <c r="B17" s="51"/>
      <c r="J17" s="60" t="s">
        <v>95</v>
      </c>
      <c r="K17" s="48">
        <f>B8-B4</f>
        <v>1942</v>
      </c>
    </row>
    <row r="18" spans="1:11" x14ac:dyDescent="0.2">
      <c r="A18" s="46" t="s">
        <v>92</v>
      </c>
      <c r="B18" s="70"/>
      <c r="C18" s="48"/>
      <c r="D18" s="48"/>
      <c r="E18" s="48"/>
      <c r="F18" s="48"/>
      <c r="J18" s="46" t="s">
        <v>88</v>
      </c>
      <c r="K18" s="62">
        <f>K17/365</f>
        <v>5.3205479452054796</v>
      </c>
    </row>
    <row r="20" spans="1:11" x14ac:dyDescent="0.2">
      <c r="A20" s="33" t="s">
        <v>62</v>
      </c>
      <c r="B20" s="33" t="s">
        <v>63</v>
      </c>
      <c r="C20" s="33" t="s">
        <v>64</v>
      </c>
      <c r="D20" s="33" t="s">
        <v>40</v>
      </c>
      <c r="E20" s="33" t="s">
        <v>65</v>
      </c>
      <c r="G20" s="52" t="s">
        <v>37</v>
      </c>
      <c r="H20" s="52" t="s">
        <v>66</v>
      </c>
    </row>
    <row r="21" spans="1:11" x14ac:dyDescent="0.2">
      <c r="A21" s="4">
        <v>1</v>
      </c>
      <c r="B21" s="5">
        <f>IF($B$10&gt;0,(1-$B$10)/$B$6,1/$B$6)</f>
        <v>0.31868131868131866</v>
      </c>
      <c r="C21" s="4">
        <f t="shared" ref="C21:C70" si="0">IF($A21&gt;$B$12,"",IF($A21=$B$12,$B$5*(1+$B$7/100/$B$6),$B$5*$B$7/100/$B$6))</f>
        <v>1.25</v>
      </c>
      <c r="D21" s="5">
        <f t="shared" ref="D21:D31" si="1">PWLinear(B21,G$5:G$14,H$5:H$14)</f>
        <v>1.7227863763845789E-3</v>
      </c>
      <c r="E21" s="5">
        <f>IF($A21&gt;$B$12,"",$C21/(1+D21/$B$6)^($B21*$B$6))</f>
        <v>1.2493142088064566</v>
      </c>
      <c r="G21" s="53">
        <f>SUM(E21:E70)</f>
        <v>100.1432966680339</v>
      </c>
      <c r="H21" s="69">
        <f>G21-B11</f>
        <v>99.689999964737197</v>
      </c>
    </row>
    <row r="22" spans="1:11" x14ac:dyDescent="0.2">
      <c r="A22" s="4">
        <f>A21+1</f>
        <v>2</v>
      </c>
      <c r="B22" s="5">
        <f t="shared" ref="B22:B70" si="2">IF(A22&gt;$B$12,"",B21+1/$B$6)</f>
        <v>0.81868131868131866</v>
      </c>
      <c r="C22" s="4">
        <f t="shared" si="0"/>
        <v>1.25</v>
      </c>
      <c r="D22" s="5">
        <f t="shared" si="1"/>
        <v>5.7834634361428484E-3</v>
      </c>
      <c r="E22" s="5">
        <f t="shared" ref="E22:E31" si="3">IF($A22&gt;$B$12,"",$C22/(1+D22/$B$6)^($B22*$B$6))</f>
        <v>1.2441039732132215</v>
      </c>
    </row>
    <row r="23" spans="1:11" x14ac:dyDescent="0.2">
      <c r="A23" s="4">
        <f t="shared" ref="A23:A70" si="4">A22+1</f>
        <v>3</v>
      </c>
      <c r="B23" s="5">
        <f t="shared" si="2"/>
        <v>1.3186813186813187</v>
      </c>
      <c r="C23" s="4">
        <f t="shared" si="0"/>
        <v>1.25</v>
      </c>
      <c r="D23" s="5">
        <f t="shared" si="1"/>
        <v>8.205872331697027E-3</v>
      </c>
      <c r="E23" s="5">
        <f t="shared" si="3"/>
        <v>1.2365741316921131</v>
      </c>
    </row>
    <row r="24" spans="1:11" x14ac:dyDescent="0.2">
      <c r="A24" s="4">
        <f t="shared" si="4"/>
        <v>4</v>
      </c>
      <c r="B24" s="5">
        <f t="shared" si="2"/>
        <v>1.8186813186813187</v>
      </c>
      <c r="C24" s="4">
        <f t="shared" si="0"/>
        <v>1.25</v>
      </c>
      <c r="D24" s="5">
        <f t="shared" si="1"/>
        <v>1.1256420698793412E-2</v>
      </c>
      <c r="E24" s="5">
        <f t="shared" si="3"/>
        <v>1.2247406458876229</v>
      </c>
    </row>
    <row r="25" spans="1:11" x14ac:dyDescent="0.2">
      <c r="A25" s="4">
        <f t="shared" si="4"/>
        <v>5</v>
      </c>
      <c r="B25" s="5">
        <f t="shared" si="2"/>
        <v>2.3186813186813184</v>
      </c>
      <c r="C25" s="4">
        <f t="shared" si="0"/>
        <v>1.25</v>
      </c>
      <c r="D25" s="5">
        <f t="shared" si="1"/>
        <v>1.4327696323998929E-2</v>
      </c>
      <c r="E25" s="5">
        <f t="shared" si="3"/>
        <v>1.2092987191296263</v>
      </c>
    </row>
    <row r="26" spans="1:11" x14ac:dyDescent="0.2">
      <c r="A26" s="4">
        <f t="shared" si="4"/>
        <v>6</v>
      </c>
      <c r="B26" s="5">
        <f t="shared" si="2"/>
        <v>2.8186813186813184</v>
      </c>
      <c r="C26" s="4">
        <f t="shared" si="0"/>
        <v>1.25</v>
      </c>
      <c r="D26" s="5">
        <f t="shared" si="1"/>
        <v>1.7036811377811274E-2</v>
      </c>
      <c r="E26" s="5">
        <f t="shared" si="3"/>
        <v>1.1916341350333641</v>
      </c>
    </row>
    <row r="27" spans="1:11" x14ac:dyDescent="0.2">
      <c r="A27" s="4">
        <f t="shared" si="4"/>
        <v>7</v>
      </c>
      <c r="B27" s="5">
        <f t="shared" si="2"/>
        <v>3.3186813186813184</v>
      </c>
      <c r="C27" s="4">
        <f t="shared" si="0"/>
        <v>1.25</v>
      </c>
      <c r="D27" s="5">
        <f t="shared" si="1"/>
        <v>1.9745926431623623E-2</v>
      </c>
      <c r="E27" s="5">
        <f t="shared" si="3"/>
        <v>1.1710894745730649</v>
      </c>
    </row>
    <row r="28" spans="1:11" x14ac:dyDescent="0.2">
      <c r="A28" s="4">
        <f t="shared" si="4"/>
        <v>8</v>
      </c>
      <c r="B28" s="5">
        <f t="shared" si="2"/>
        <v>3.8186813186813184</v>
      </c>
      <c r="C28" s="4">
        <f t="shared" si="0"/>
        <v>1.25</v>
      </c>
      <c r="D28" s="5">
        <f t="shared" si="1"/>
        <v>2.2533813853885549E-2</v>
      </c>
      <c r="E28" s="5">
        <f t="shared" si="3"/>
        <v>1.1474880423280247</v>
      </c>
    </row>
    <row r="29" spans="1:11" x14ac:dyDescent="0.2">
      <c r="A29" s="4">
        <f t="shared" si="4"/>
        <v>9</v>
      </c>
      <c r="B29" s="5">
        <f t="shared" si="2"/>
        <v>4.3186813186813184</v>
      </c>
      <c r="C29" s="4">
        <f t="shared" si="0"/>
        <v>1.25</v>
      </c>
      <c r="D29" s="5">
        <f t="shared" si="1"/>
        <v>2.330542174421248E-2</v>
      </c>
      <c r="E29" s="5">
        <f t="shared" si="3"/>
        <v>1.1309712318027221</v>
      </c>
    </row>
    <row r="30" spans="1:11" x14ac:dyDescent="0.2">
      <c r="A30" s="4">
        <f t="shared" si="4"/>
        <v>10</v>
      </c>
      <c r="B30" s="5">
        <f t="shared" si="2"/>
        <v>4.8186813186813184</v>
      </c>
      <c r="C30" s="4">
        <f t="shared" si="0"/>
        <v>1.25</v>
      </c>
      <c r="D30" s="5">
        <f t="shared" si="1"/>
        <v>2.4679399003400118E-2</v>
      </c>
      <c r="E30" s="5">
        <f t="shared" si="3"/>
        <v>1.1106541249697541</v>
      </c>
    </row>
    <row r="31" spans="1:11" x14ac:dyDescent="0.2">
      <c r="A31" s="4">
        <f t="shared" si="4"/>
        <v>11</v>
      </c>
      <c r="B31" s="5">
        <f t="shared" si="2"/>
        <v>5.3186813186813184</v>
      </c>
      <c r="C31" s="4">
        <f t="shared" si="0"/>
        <v>101.25</v>
      </c>
      <c r="D31" s="5">
        <f t="shared" si="1"/>
        <v>2.605337626258776E-2</v>
      </c>
      <c r="E31" s="5">
        <f t="shared" si="3"/>
        <v>88.227427980597923</v>
      </c>
    </row>
    <row r="32" spans="1:11" x14ac:dyDescent="0.2">
      <c r="A32" s="4">
        <f t="shared" si="4"/>
        <v>12</v>
      </c>
      <c r="B32" s="5" t="str">
        <f t="shared" si="2"/>
        <v/>
      </c>
      <c r="C32" s="4" t="str">
        <f t="shared" si="0"/>
        <v/>
      </c>
      <c r="E32" s="5" t="str">
        <f t="shared" ref="E32:E70" si="5">IF($A32&gt;$B$12,"",$C32/(1+PWLinear($B32,$G$5:$G$14,$H$5:$H$14)/$B$6)^($B32*$B$6))</f>
        <v/>
      </c>
    </row>
    <row r="33" spans="1:5" x14ac:dyDescent="0.2">
      <c r="A33" s="4">
        <f t="shared" si="4"/>
        <v>13</v>
      </c>
      <c r="B33" s="5" t="str">
        <f t="shared" si="2"/>
        <v/>
      </c>
      <c r="C33" s="4" t="str">
        <f t="shared" si="0"/>
        <v/>
      </c>
      <c r="E33" s="5" t="str">
        <f t="shared" si="5"/>
        <v/>
      </c>
    </row>
    <row r="34" spans="1:5" x14ac:dyDescent="0.2">
      <c r="A34" s="4">
        <f t="shared" si="4"/>
        <v>14</v>
      </c>
      <c r="B34" s="5" t="str">
        <f t="shared" si="2"/>
        <v/>
      </c>
      <c r="C34" s="4" t="str">
        <f t="shared" si="0"/>
        <v/>
      </c>
      <c r="E34" s="5" t="str">
        <f t="shared" si="5"/>
        <v/>
      </c>
    </row>
    <row r="35" spans="1:5" x14ac:dyDescent="0.2">
      <c r="A35" s="4">
        <f t="shared" si="4"/>
        <v>15</v>
      </c>
      <c r="B35" s="5" t="str">
        <f t="shared" si="2"/>
        <v/>
      </c>
      <c r="C35" s="4" t="str">
        <f t="shared" si="0"/>
        <v/>
      </c>
      <c r="E35" s="5" t="str">
        <f t="shared" si="5"/>
        <v/>
      </c>
    </row>
    <row r="36" spans="1:5" x14ac:dyDescent="0.2">
      <c r="A36" s="4">
        <f t="shared" si="4"/>
        <v>16</v>
      </c>
      <c r="B36" s="5" t="str">
        <f t="shared" si="2"/>
        <v/>
      </c>
      <c r="C36" s="4" t="str">
        <f t="shared" si="0"/>
        <v/>
      </c>
      <c r="E36" s="5" t="str">
        <f t="shared" si="5"/>
        <v/>
      </c>
    </row>
    <row r="37" spans="1:5" x14ac:dyDescent="0.2">
      <c r="A37" s="4">
        <f t="shared" si="4"/>
        <v>17</v>
      </c>
      <c r="B37" s="5" t="str">
        <f t="shared" si="2"/>
        <v/>
      </c>
      <c r="C37" s="4" t="str">
        <f t="shared" si="0"/>
        <v/>
      </c>
      <c r="E37" s="5" t="str">
        <f t="shared" si="5"/>
        <v/>
      </c>
    </row>
    <row r="38" spans="1:5" x14ac:dyDescent="0.2">
      <c r="A38" s="4">
        <f t="shared" si="4"/>
        <v>18</v>
      </c>
      <c r="B38" s="5" t="str">
        <f t="shared" si="2"/>
        <v/>
      </c>
      <c r="C38" s="4" t="str">
        <f t="shared" si="0"/>
        <v/>
      </c>
      <c r="E38" s="5" t="str">
        <f t="shared" si="5"/>
        <v/>
      </c>
    </row>
    <row r="39" spans="1:5" x14ac:dyDescent="0.2">
      <c r="A39" s="4">
        <f t="shared" si="4"/>
        <v>19</v>
      </c>
      <c r="B39" s="5" t="str">
        <f t="shared" si="2"/>
        <v/>
      </c>
      <c r="C39" s="4" t="str">
        <f t="shared" si="0"/>
        <v/>
      </c>
      <c r="E39" s="5" t="str">
        <f t="shared" si="5"/>
        <v/>
      </c>
    </row>
    <row r="40" spans="1:5" x14ac:dyDescent="0.2">
      <c r="A40" s="4">
        <f t="shared" si="4"/>
        <v>20</v>
      </c>
      <c r="B40" s="5" t="str">
        <f t="shared" si="2"/>
        <v/>
      </c>
      <c r="C40" s="4" t="str">
        <f t="shared" si="0"/>
        <v/>
      </c>
      <c r="E40" s="5" t="str">
        <f t="shared" si="5"/>
        <v/>
      </c>
    </row>
    <row r="41" spans="1:5" x14ac:dyDescent="0.2">
      <c r="A41" s="4">
        <f t="shared" si="4"/>
        <v>21</v>
      </c>
      <c r="B41" s="5" t="str">
        <f t="shared" si="2"/>
        <v/>
      </c>
      <c r="C41" s="4" t="str">
        <f t="shared" si="0"/>
        <v/>
      </c>
      <c r="E41" s="5" t="str">
        <f t="shared" si="5"/>
        <v/>
      </c>
    </row>
    <row r="42" spans="1:5" x14ac:dyDescent="0.2">
      <c r="A42" s="4">
        <f t="shared" si="4"/>
        <v>22</v>
      </c>
      <c r="B42" s="5" t="str">
        <f t="shared" si="2"/>
        <v/>
      </c>
      <c r="C42" s="4" t="str">
        <f t="shared" si="0"/>
        <v/>
      </c>
      <c r="E42" s="5" t="str">
        <f t="shared" si="5"/>
        <v/>
      </c>
    </row>
    <row r="43" spans="1:5" x14ac:dyDescent="0.2">
      <c r="A43" s="4">
        <f t="shared" si="4"/>
        <v>23</v>
      </c>
      <c r="B43" s="5" t="str">
        <f t="shared" si="2"/>
        <v/>
      </c>
      <c r="C43" s="4" t="str">
        <f t="shared" si="0"/>
        <v/>
      </c>
      <c r="E43" s="5" t="str">
        <f t="shared" si="5"/>
        <v/>
      </c>
    </row>
    <row r="44" spans="1:5" x14ac:dyDescent="0.2">
      <c r="A44" s="4">
        <f t="shared" si="4"/>
        <v>24</v>
      </c>
      <c r="B44" s="5" t="str">
        <f t="shared" si="2"/>
        <v/>
      </c>
      <c r="C44" s="4" t="str">
        <f t="shared" si="0"/>
        <v/>
      </c>
      <c r="E44" s="5" t="str">
        <f t="shared" si="5"/>
        <v/>
      </c>
    </row>
    <row r="45" spans="1:5" x14ac:dyDescent="0.2">
      <c r="A45" s="4">
        <f t="shared" si="4"/>
        <v>25</v>
      </c>
      <c r="B45" s="5" t="str">
        <f t="shared" si="2"/>
        <v/>
      </c>
      <c r="C45" s="4" t="str">
        <f t="shared" si="0"/>
        <v/>
      </c>
      <c r="E45" s="5" t="str">
        <f t="shared" si="5"/>
        <v/>
      </c>
    </row>
    <row r="46" spans="1:5" x14ac:dyDescent="0.2">
      <c r="A46" s="4">
        <f t="shared" si="4"/>
        <v>26</v>
      </c>
      <c r="B46" s="5" t="str">
        <f t="shared" si="2"/>
        <v/>
      </c>
      <c r="C46" s="4" t="str">
        <f t="shared" si="0"/>
        <v/>
      </c>
      <c r="E46" s="5" t="str">
        <f t="shared" si="5"/>
        <v/>
      </c>
    </row>
    <row r="47" spans="1:5" x14ac:dyDescent="0.2">
      <c r="A47" s="4">
        <f t="shared" si="4"/>
        <v>27</v>
      </c>
      <c r="B47" s="5" t="str">
        <f t="shared" si="2"/>
        <v/>
      </c>
      <c r="C47" s="4" t="str">
        <f t="shared" si="0"/>
        <v/>
      </c>
      <c r="E47" s="5" t="str">
        <f t="shared" si="5"/>
        <v/>
      </c>
    </row>
    <row r="48" spans="1:5" x14ac:dyDescent="0.2">
      <c r="A48" s="4">
        <f t="shared" si="4"/>
        <v>28</v>
      </c>
      <c r="B48" s="5" t="str">
        <f t="shared" si="2"/>
        <v/>
      </c>
      <c r="C48" s="4" t="str">
        <f t="shared" si="0"/>
        <v/>
      </c>
      <c r="E48" s="5" t="str">
        <f t="shared" si="5"/>
        <v/>
      </c>
    </row>
    <row r="49" spans="1:5" x14ac:dyDescent="0.2">
      <c r="A49" s="4">
        <f t="shared" si="4"/>
        <v>29</v>
      </c>
      <c r="B49" s="5" t="str">
        <f t="shared" si="2"/>
        <v/>
      </c>
      <c r="C49" s="4" t="str">
        <f t="shared" si="0"/>
        <v/>
      </c>
      <c r="E49" s="5" t="str">
        <f t="shared" si="5"/>
        <v/>
      </c>
    </row>
    <row r="50" spans="1:5" x14ac:dyDescent="0.2">
      <c r="A50" s="4">
        <f t="shared" si="4"/>
        <v>30</v>
      </c>
      <c r="B50" s="5" t="str">
        <f t="shared" si="2"/>
        <v/>
      </c>
      <c r="C50" s="4" t="str">
        <f t="shared" si="0"/>
        <v/>
      </c>
      <c r="E50" s="5" t="str">
        <f t="shared" si="5"/>
        <v/>
      </c>
    </row>
    <row r="51" spans="1:5" x14ac:dyDescent="0.2">
      <c r="A51" s="4">
        <f t="shared" si="4"/>
        <v>31</v>
      </c>
      <c r="B51" s="5" t="str">
        <f t="shared" si="2"/>
        <v/>
      </c>
      <c r="C51" s="4" t="str">
        <f t="shared" si="0"/>
        <v/>
      </c>
      <c r="E51" s="5" t="str">
        <f t="shared" si="5"/>
        <v/>
      </c>
    </row>
    <row r="52" spans="1:5" x14ac:dyDescent="0.2">
      <c r="A52" s="4">
        <f t="shared" si="4"/>
        <v>32</v>
      </c>
      <c r="B52" s="5" t="str">
        <f t="shared" si="2"/>
        <v/>
      </c>
      <c r="C52" s="4" t="str">
        <f t="shared" si="0"/>
        <v/>
      </c>
      <c r="E52" s="5" t="str">
        <f t="shared" si="5"/>
        <v/>
      </c>
    </row>
    <row r="53" spans="1:5" x14ac:dyDescent="0.2">
      <c r="A53" s="4">
        <f t="shared" si="4"/>
        <v>33</v>
      </c>
      <c r="B53" s="5" t="str">
        <f t="shared" si="2"/>
        <v/>
      </c>
      <c r="C53" s="4" t="str">
        <f t="shared" si="0"/>
        <v/>
      </c>
      <c r="E53" s="5" t="str">
        <f t="shared" si="5"/>
        <v/>
      </c>
    </row>
    <row r="54" spans="1:5" x14ac:dyDescent="0.2">
      <c r="A54" s="4">
        <f t="shared" si="4"/>
        <v>34</v>
      </c>
      <c r="B54" s="5" t="str">
        <f t="shared" si="2"/>
        <v/>
      </c>
      <c r="C54" s="4" t="str">
        <f t="shared" si="0"/>
        <v/>
      </c>
      <c r="E54" s="5" t="str">
        <f t="shared" si="5"/>
        <v/>
      </c>
    </row>
    <row r="55" spans="1:5" x14ac:dyDescent="0.2">
      <c r="A55" s="4">
        <f t="shared" si="4"/>
        <v>35</v>
      </c>
      <c r="B55" s="5" t="str">
        <f t="shared" si="2"/>
        <v/>
      </c>
      <c r="C55" s="4" t="str">
        <f t="shared" si="0"/>
        <v/>
      </c>
      <c r="E55" s="5" t="str">
        <f t="shared" si="5"/>
        <v/>
      </c>
    </row>
    <row r="56" spans="1:5" x14ac:dyDescent="0.2">
      <c r="A56" s="4">
        <f t="shared" si="4"/>
        <v>36</v>
      </c>
      <c r="B56" s="5" t="str">
        <f t="shared" si="2"/>
        <v/>
      </c>
      <c r="C56" s="4" t="str">
        <f t="shared" si="0"/>
        <v/>
      </c>
      <c r="E56" s="5" t="str">
        <f t="shared" si="5"/>
        <v/>
      </c>
    </row>
    <row r="57" spans="1:5" x14ac:dyDescent="0.2">
      <c r="A57" s="4">
        <f t="shared" si="4"/>
        <v>37</v>
      </c>
      <c r="B57" s="5" t="str">
        <f t="shared" si="2"/>
        <v/>
      </c>
      <c r="C57" s="4" t="str">
        <f t="shared" si="0"/>
        <v/>
      </c>
      <c r="E57" s="5" t="str">
        <f t="shared" si="5"/>
        <v/>
      </c>
    </row>
    <row r="58" spans="1:5" x14ac:dyDescent="0.2">
      <c r="A58" s="4">
        <f t="shared" si="4"/>
        <v>38</v>
      </c>
      <c r="B58" s="5" t="str">
        <f t="shared" si="2"/>
        <v/>
      </c>
      <c r="C58" s="4" t="str">
        <f t="shared" si="0"/>
        <v/>
      </c>
      <c r="E58" s="5" t="str">
        <f t="shared" si="5"/>
        <v/>
      </c>
    </row>
    <row r="59" spans="1:5" x14ac:dyDescent="0.2">
      <c r="A59" s="4">
        <f t="shared" si="4"/>
        <v>39</v>
      </c>
      <c r="B59" s="5" t="str">
        <f t="shared" si="2"/>
        <v/>
      </c>
      <c r="C59" s="4" t="str">
        <f t="shared" si="0"/>
        <v/>
      </c>
      <c r="E59" s="5" t="str">
        <f t="shared" si="5"/>
        <v/>
      </c>
    </row>
    <row r="60" spans="1:5" x14ac:dyDescent="0.2">
      <c r="A60" s="4">
        <f t="shared" si="4"/>
        <v>40</v>
      </c>
      <c r="B60" s="5" t="str">
        <f t="shared" si="2"/>
        <v/>
      </c>
      <c r="C60" s="4" t="str">
        <f t="shared" si="0"/>
        <v/>
      </c>
      <c r="E60" s="5" t="str">
        <f t="shared" si="5"/>
        <v/>
      </c>
    </row>
    <row r="61" spans="1:5" x14ac:dyDescent="0.2">
      <c r="A61" s="4">
        <f t="shared" si="4"/>
        <v>41</v>
      </c>
      <c r="B61" s="5" t="str">
        <f t="shared" si="2"/>
        <v/>
      </c>
      <c r="C61" s="4" t="str">
        <f t="shared" si="0"/>
        <v/>
      </c>
      <c r="E61" s="5" t="str">
        <f t="shared" si="5"/>
        <v/>
      </c>
    </row>
    <row r="62" spans="1:5" x14ac:dyDescent="0.2">
      <c r="A62" s="4">
        <f t="shared" si="4"/>
        <v>42</v>
      </c>
      <c r="B62" s="5" t="str">
        <f t="shared" si="2"/>
        <v/>
      </c>
      <c r="C62" s="4" t="str">
        <f t="shared" si="0"/>
        <v/>
      </c>
      <c r="E62" s="5" t="str">
        <f t="shared" si="5"/>
        <v/>
      </c>
    </row>
    <row r="63" spans="1:5" x14ac:dyDescent="0.2">
      <c r="A63" s="4">
        <f t="shared" si="4"/>
        <v>43</v>
      </c>
      <c r="B63" s="5" t="str">
        <f t="shared" si="2"/>
        <v/>
      </c>
      <c r="C63" s="4" t="str">
        <f t="shared" si="0"/>
        <v/>
      </c>
      <c r="E63" s="5" t="str">
        <f t="shared" si="5"/>
        <v/>
      </c>
    </row>
    <row r="64" spans="1:5" x14ac:dyDescent="0.2">
      <c r="A64" s="4">
        <f t="shared" si="4"/>
        <v>44</v>
      </c>
      <c r="B64" s="5" t="str">
        <f t="shared" si="2"/>
        <v/>
      </c>
      <c r="C64" s="4" t="str">
        <f t="shared" si="0"/>
        <v/>
      </c>
      <c r="E64" s="5" t="str">
        <f t="shared" si="5"/>
        <v/>
      </c>
    </row>
    <row r="65" spans="1:5" x14ac:dyDescent="0.2">
      <c r="A65" s="4">
        <f t="shared" si="4"/>
        <v>45</v>
      </c>
      <c r="B65" s="5" t="str">
        <f t="shared" si="2"/>
        <v/>
      </c>
      <c r="C65" s="4" t="str">
        <f t="shared" si="0"/>
        <v/>
      </c>
      <c r="E65" s="5" t="str">
        <f t="shared" si="5"/>
        <v/>
      </c>
    </row>
    <row r="66" spans="1:5" x14ac:dyDescent="0.2">
      <c r="A66" s="4">
        <f t="shared" si="4"/>
        <v>46</v>
      </c>
      <c r="B66" s="5" t="str">
        <f t="shared" si="2"/>
        <v/>
      </c>
      <c r="C66" s="4" t="str">
        <f t="shared" si="0"/>
        <v/>
      </c>
      <c r="E66" s="5" t="str">
        <f t="shared" si="5"/>
        <v/>
      </c>
    </row>
    <row r="67" spans="1:5" x14ac:dyDescent="0.2">
      <c r="A67" s="4">
        <f t="shared" si="4"/>
        <v>47</v>
      </c>
      <c r="B67" s="5" t="str">
        <f t="shared" si="2"/>
        <v/>
      </c>
      <c r="C67" s="4" t="str">
        <f t="shared" si="0"/>
        <v/>
      </c>
      <c r="E67" s="5" t="str">
        <f t="shared" si="5"/>
        <v/>
      </c>
    </row>
    <row r="68" spans="1:5" x14ac:dyDescent="0.2">
      <c r="A68" s="4">
        <f t="shared" si="4"/>
        <v>48</v>
      </c>
      <c r="B68" s="5" t="str">
        <f t="shared" si="2"/>
        <v/>
      </c>
      <c r="C68" s="4" t="str">
        <f t="shared" si="0"/>
        <v/>
      </c>
      <c r="E68" s="5" t="str">
        <f t="shared" si="5"/>
        <v/>
      </c>
    </row>
    <row r="69" spans="1:5" x14ac:dyDescent="0.2">
      <c r="A69" s="4">
        <f t="shared" si="4"/>
        <v>49</v>
      </c>
      <c r="B69" s="5" t="str">
        <f t="shared" si="2"/>
        <v/>
      </c>
      <c r="C69" s="4" t="str">
        <f t="shared" si="0"/>
        <v/>
      </c>
      <c r="E69" s="5" t="str">
        <f t="shared" si="5"/>
        <v/>
      </c>
    </row>
    <row r="70" spans="1:5" x14ac:dyDescent="0.2">
      <c r="A70" s="4">
        <f t="shared" si="4"/>
        <v>50</v>
      </c>
      <c r="B70" s="5" t="str">
        <f t="shared" si="2"/>
        <v/>
      </c>
      <c r="C70" s="4" t="str">
        <f t="shared" si="0"/>
        <v/>
      </c>
      <c r="E70" s="5" t="str">
        <f t="shared" si="5"/>
        <v/>
      </c>
    </row>
  </sheetData>
  <phoneticPr fontId="14" type="noConversion"/>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37C657-C8DD-4665-8F73-1CB15BBB5D11}">
  <sheetPr codeName="Sheet8"/>
  <dimension ref="A1:AB89"/>
  <sheetViews>
    <sheetView workbookViewId="0">
      <selection activeCell="D92" sqref="D92"/>
    </sheetView>
  </sheetViews>
  <sheetFormatPr defaultColWidth="9.140625" defaultRowHeight="12.75" x14ac:dyDescent="0.2"/>
  <cols>
    <col min="1" max="1" width="4.5703125" style="4" customWidth="1"/>
    <col min="2" max="2" width="11.140625" style="4" bestFit="1" customWidth="1"/>
    <col min="3" max="5" width="9.140625" style="4"/>
    <col min="6" max="6" width="3.5703125" style="4" customWidth="1"/>
    <col min="7" max="7" width="9.140625" style="4"/>
    <col min="8" max="8" width="13.140625" style="4" bestFit="1" customWidth="1"/>
    <col min="9" max="9" width="12.5703125" style="4" bestFit="1" customWidth="1"/>
    <col min="10" max="10" width="3.5703125" style="4" customWidth="1"/>
    <col min="11" max="11" width="15.28515625" style="4" bestFit="1" customWidth="1"/>
    <col min="12" max="12" width="9.42578125" style="4" customWidth="1"/>
    <col min="13" max="13" width="11.5703125" style="4" bestFit="1" customWidth="1"/>
    <col min="14" max="14" width="11.42578125" style="4" bestFit="1" customWidth="1"/>
    <col min="15" max="17" width="8.7109375" style="4" customWidth="1"/>
    <col min="18" max="18" width="3.5703125" style="4" customWidth="1"/>
    <col min="19" max="19" width="9.140625" style="3"/>
    <col min="20" max="16384" width="9.140625" style="4"/>
  </cols>
  <sheetData>
    <row r="1" spans="1:28" x14ac:dyDescent="0.2">
      <c r="B1" s="3" t="s">
        <v>46</v>
      </c>
      <c r="S1" s="3" t="s">
        <v>69</v>
      </c>
    </row>
    <row r="3" spans="1:28" x14ac:dyDescent="0.2">
      <c r="B3" s="3" t="s">
        <v>0</v>
      </c>
      <c r="C3" s="32">
        <v>40214</v>
      </c>
      <c r="M3" s="30" t="s">
        <v>80</v>
      </c>
      <c r="N3" s="30"/>
      <c r="O3" s="30"/>
      <c r="S3" s="46" t="s">
        <v>100</v>
      </c>
      <c r="T3" s="48"/>
      <c r="U3" s="48"/>
      <c r="V3" s="48"/>
      <c r="W3" s="48"/>
      <c r="X3" s="48"/>
      <c r="Y3" s="48"/>
      <c r="Z3" s="48"/>
      <c r="AA3" s="48"/>
      <c r="AB3" s="48"/>
    </row>
    <row r="4" spans="1:28" x14ac:dyDescent="0.2">
      <c r="B4" s="3" t="s">
        <v>33</v>
      </c>
      <c r="C4" s="4">
        <v>100</v>
      </c>
      <c r="M4" s="3" t="s">
        <v>30</v>
      </c>
      <c r="N4" s="3" t="s">
        <v>31</v>
      </c>
      <c r="O4" s="33" t="s">
        <v>79</v>
      </c>
      <c r="P4" s="61" t="s">
        <v>83</v>
      </c>
      <c r="Q4" s="61" t="s">
        <v>32</v>
      </c>
      <c r="S4" s="46" t="s">
        <v>71</v>
      </c>
      <c r="T4" s="48"/>
      <c r="U4" s="48"/>
      <c r="V4" s="48"/>
      <c r="W4" s="48"/>
      <c r="X4" s="48"/>
      <c r="Y4" s="48"/>
      <c r="Z4" s="48"/>
      <c r="AA4" s="48"/>
      <c r="AB4" s="48"/>
    </row>
    <row r="5" spans="1:28" x14ac:dyDescent="0.2">
      <c r="B5" s="3" t="s">
        <v>47</v>
      </c>
      <c r="C5" s="4">
        <v>2</v>
      </c>
      <c r="K5" s="66" t="s">
        <v>81</v>
      </c>
      <c r="L5" s="5">
        <f>COUPDAYBS($C$3,N5,$C$5,1)/COUPDAYS($C$3,N5,$C$5,1)</f>
        <v>0.36263736263736263</v>
      </c>
      <c r="M5" s="34">
        <v>4</v>
      </c>
      <c r="N5" s="35">
        <v>51653</v>
      </c>
      <c r="O5" s="34">
        <v>100.24</v>
      </c>
      <c r="P5" s="62">
        <f>O5+COUPDAYBS($C$3,N5,$C$5,1)/COUPDAYS($C$3,N5,$C$5,1)*M5/$C$5</f>
        <v>100.96527472527472</v>
      </c>
      <c r="Q5" s="67">
        <f>(COUPNUM($C$3,N5,$C$5,1)-COUPDAYBS($C$3,N5,$C$5,1)/COUPDAYS($C$3,N5,$C$5,1))/$C$5</f>
        <v>31.318681318681318</v>
      </c>
      <c r="S5" s="46" t="s">
        <v>70</v>
      </c>
      <c r="T5" s="48"/>
      <c r="U5" s="48"/>
      <c r="V5" s="48"/>
      <c r="W5" s="48"/>
      <c r="X5" s="48"/>
      <c r="Y5" s="48"/>
      <c r="Z5" s="48"/>
      <c r="AA5" s="48"/>
      <c r="AB5" s="48"/>
    </row>
    <row r="6" spans="1:28" x14ac:dyDescent="0.2">
      <c r="H6" s="33" t="s">
        <v>48</v>
      </c>
      <c r="I6" s="33" t="s">
        <v>49</v>
      </c>
      <c r="K6" s="66" t="s">
        <v>82</v>
      </c>
      <c r="L6" s="4">
        <f>COUPNUM($C$3,N5,2)</f>
        <v>63</v>
      </c>
      <c r="N6" s="33" t="s">
        <v>68</v>
      </c>
      <c r="P6" s="48"/>
      <c r="Q6" s="48"/>
      <c r="S6" s="46" t="s">
        <v>101</v>
      </c>
      <c r="T6" s="48"/>
      <c r="U6" s="48"/>
      <c r="V6" s="48"/>
      <c r="W6" s="48"/>
      <c r="X6" s="48"/>
      <c r="Y6" s="48"/>
      <c r="Z6" s="48"/>
      <c r="AA6" s="48"/>
      <c r="AB6" s="48"/>
    </row>
    <row r="7" spans="1:28" s="33" customFormat="1" x14ac:dyDescent="0.2">
      <c r="B7" s="33" t="s">
        <v>30</v>
      </c>
      <c r="C7" s="33" t="s">
        <v>31</v>
      </c>
      <c r="D7" s="33" t="s">
        <v>35</v>
      </c>
      <c r="E7" s="33" t="s">
        <v>36</v>
      </c>
      <c r="G7" s="33" t="s">
        <v>32</v>
      </c>
      <c r="H7" s="33" t="s">
        <v>40</v>
      </c>
      <c r="I7" s="33" t="s">
        <v>74</v>
      </c>
      <c r="K7" s="33" t="s">
        <v>84</v>
      </c>
      <c r="L7" s="33" t="s">
        <v>85</v>
      </c>
      <c r="M7" s="3" t="s">
        <v>63</v>
      </c>
      <c r="N7" s="33" t="s">
        <v>40</v>
      </c>
      <c r="O7" s="33" t="s">
        <v>65</v>
      </c>
      <c r="P7" s="46" t="s">
        <v>37</v>
      </c>
      <c r="Q7" s="61" t="s">
        <v>34</v>
      </c>
      <c r="S7" s="60" t="s">
        <v>102</v>
      </c>
      <c r="T7" s="61"/>
      <c r="U7" s="61"/>
      <c r="V7" s="61"/>
      <c r="W7" s="61"/>
      <c r="X7" s="61"/>
      <c r="Y7" s="61"/>
      <c r="Z7" s="61"/>
      <c r="AA7" s="61"/>
      <c r="AB7" s="61"/>
    </row>
    <row r="8" spans="1:28" s="5" customFormat="1" x14ac:dyDescent="0.2">
      <c r="M8" s="33"/>
      <c r="N8" s="33"/>
      <c r="O8" s="33"/>
      <c r="P8" s="61"/>
      <c r="Q8" s="61"/>
      <c r="S8" s="60" t="s">
        <v>103</v>
      </c>
      <c r="T8" s="62"/>
      <c r="U8" s="62"/>
      <c r="V8" s="62"/>
      <c r="W8" s="62"/>
      <c r="X8" s="62"/>
      <c r="Y8" s="62"/>
      <c r="Z8" s="62"/>
      <c r="AA8" s="62"/>
      <c r="AB8" s="62"/>
    </row>
    <row r="9" spans="1:28" ht="15" x14ac:dyDescent="0.25">
      <c r="A9" s="4">
        <v>1</v>
      </c>
      <c r="B9" s="4">
        <v>0</v>
      </c>
      <c r="C9" s="4">
        <v>91</v>
      </c>
      <c r="E9" s="4">
        <v>0.15</v>
      </c>
      <c r="G9" s="5">
        <f>C9/365</f>
        <v>0.24931506849315069</v>
      </c>
      <c r="H9" s="58">
        <v>1.5002820207405954E-3</v>
      </c>
      <c r="I9" s="59">
        <f t="array" ref="I9:I21">spline(G9:G21,H9:H21,0,0)</f>
        <v>3.4186669325394249E-2</v>
      </c>
      <c r="K9" s="4">
        <v>1</v>
      </c>
      <c r="L9" s="4">
        <f t="shared" ref="L9:L40" si="0">IF($A9&gt;L$6,"",IF($A9&lt;L$6,M$5/$C$5,M$5/$C$5+$C$4))</f>
        <v>2</v>
      </c>
      <c r="M9" s="5">
        <f>IF($L$5&gt;0,(1-$L$5)/$C$5,1/$C$5)</f>
        <v>0.31868131868131866</v>
      </c>
      <c r="N9" s="31">
        <f>IF(A9&gt;L$6,"",splint(G$9:G$21,H$9:$H21,I$9:I$21,M9))</f>
        <v>1.576870249308312E-3</v>
      </c>
      <c r="O9" s="5">
        <f>IF(A9&gt;L$6,"",L9/(1+N9/$C$5)^($C$5*M9))</f>
        <v>1.998995610098929</v>
      </c>
      <c r="P9" s="62">
        <f>SUM(O9:O88)</f>
        <v>100.8449228268891</v>
      </c>
      <c r="Q9" s="62">
        <f>P9-P5</f>
        <v>-0.12035189838562133</v>
      </c>
      <c r="S9" s="64" t="s">
        <v>75</v>
      </c>
      <c r="T9" s="65"/>
      <c r="U9" s="65"/>
      <c r="V9" s="65"/>
      <c r="W9" s="65"/>
      <c r="X9" s="65"/>
      <c r="Y9" s="65"/>
      <c r="Z9" s="65"/>
      <c r="AA9" s="65"/>
      <c r="AB9" s="65"/>
    </row>
    <row r="10" spans="1:28" ht="15" x14ac:dyDescent="0.25">
      <c r="A10" s="4">
        <f>A9+1</f>
        <v>2</v>
      </c>
      <c r="B10" s="4">
        <v>0</v>
      </c>
      <c r="C10" s="4">
        <v>182</v>
      </c>
      <c r="E10" s="4">
        <v>0.23</v>
      </c>
      <c r="G10" s="5">
        <f>C10/365</f>
        <v>0.49863013698630138</v>
      </c>
      <c r="H10" s="58">
        <v>2.3000036219071873E-3</v>
      </c>
      <c r="I10" s="59">
        <v>8.8223456738722051E-3</v>
      </c>
      <c r="K10" s="4">
        <f t="shared" ref="K10:K41" si="1">IF($A10&gt;L$6,"",K9+1)</f>
        <v>2</v>
      </c>
      <c r="L10" s="4">
        <f t="shared" si="0"/>
        <v>2</v>
      </c>
      <c r="M10" s="5">
        <f>IF($A10&lt;=L$6,M9+0.5,"")</f>
        <v>0.81868131868131866</v>
      </c>
      <c r="N10" s="31">
        <f>IF(A10&gt;L$6,"",splint(G$9:G$21,H$9:$H22,I$9:I$21,M10))</f>
        <v>4.382415057862455E-3</v>
      </c>
      <c r="O10" s="5">
        <f t="shared" ref="O10:O73" si="2">IF(A10&gt;L$6,"",L10/(1+N10/$C$5)^($C$5*M10))</f>
        <v>1.9928450763135293</v>
      </c>
      <c r="S10" s="64"/>
      <c r="T10" s="65" t="s">
        <v>76</v>
      </c>
      <c r="U10" s="65"/>
      <c r="V10" s="65"/>
      <c r="W10" s="65"/>
      <c r="X10" s="65"/>
      <c r="Y10" s="65"/>
      <c r="Z10" s="65"/>
      <c r="AA10" s="65"/>
      <c r="AB10" s="65"/>
    </row>
    <row r="11" spans="1:28" ht="15" x14ac:dyDescent="0.25">
      <c r="A11" s="4">
        <f t="shared" ref="A11:A74" si="3">A10+1</f>
        <v>3</v>
      </c>
      <c r="B11" s="34">
        <v>6</v>
      </c>
      <c r="C11" s="35">
        <v>40695</v>
      </c>
      <c r="D11" s="34">
        <v>106.79</v>
      </c>
      <c r="E11" s="37">
        <v>0.77</v>
      </c>
      <c r="G11" s="5">
        <f>(COUPNUM($C$3,C11,$C$5,1)-COUPDAYBS($C$3,C11,$C$5,1)/COUPDAYS($C$3,C11,$C$5,1))/$C$5</f>
        <v>1.3186813186813187</v>
      </c>
      <c r="H11" s="56">
        <v>8.2272035712298471E-3</v>
      </c>
      <c r="I11" s="59">
        <v>-3.9886384238598943E-3</v>
      </c>
      <c r="K11" s="4">
        <f t="shared" si="1"/>
        <v>3</v>
      </c>
      <c r="L11" s="4">
        <f t="shared" si="0"/>
        <v>2</v>
      </c>
      <c r="M11" s="5">
        <f t="shared" ref="M11:M74" si="4">IF($A11&lt;=L$6,M10+0.5,"")</f>
        <v>1.3186813186813187</v>
      </c>
      <c r="N11" s="31">
        <f>IF(A11&gt;L$6,"",splint(G$9:G$21,H$9:$H23,I$9:I$21,M11))</f>
        <v>8.2272035712298471E-3</v>
      </c>
      <c r="O11" s="5">
        <f t="shared" si="2"/>
        <v>1.9784631852278434</v>
      </c>
      <c r="S11" s="64"/>
      <c r="T11" s="65" t="s">
        <v>77</v>
      </c>
      <c r="U11" s="65"/>
      <c r="V11" s="65"/>
      <c r="W11" s="65"/>
      <c r="X11" s="65"/>
      <c r="Y11" s="65"/>
      <c r="Z11" s="65"/>
      <c r="AA11" s="65"/>
      <c r="AB11" s="65"/>
    </row>
    <row r="12" spans="1:28" ht="15" x14ac:dyDescent="0.25">
      <c r="A12" s="4">
        <f t="shared" si="3"/>
        <v>4</v>
      </c>
      <c r="B12" s="34">
        <v>3.75</v>
      </c>
      <c r="C12" s="35">
        <v>41061</v>
      </c>
      <c r="D12" s="34">
        <v>105.31</v>
      </c>
      <c r="E12" s="37">
        <v>1.4</v>
      </c>
      <c r="G12" s="5">
        <f t="shared" ref="G12:G21" si="5">(COUPNUM($C$3,C12,$C$5,1)-COUPDAYBS($C$3,C12,$C$5,1)/COUPDAYS($C$3,C12,$C$5,1))/$C$5</f>
        <v>2.3186813186813189</v>
      </c>
      <c r="H12" s="56">
        <v>1.4334968368852466E-2</v>
      </c>
      <c r="I12" s="59">
        <v>5.6381704533920731E-4</v>
      </c>
      <c r="K12" s="4">
        <f t="shared" si="1"/>
        <v>4</v>
      </c>
      <c r="L12" s="4">
        <f t="shared" si="0"/>
        <v>2</v>
      </c>
      <c r="M12" s="5">
        <f t="shared" si="4"/>
        <v>1.8186813186813187</v>
      </c>
      <c r="N12" s="31">
        <f>IF(A12&gt;L$6,"",splint(G$9:G$21,H$9:$H24,I$9:I$21,M12))</f>
        <v>1.1495137306198697E-2</v>
      </c>
      <c r="O12" s="5">
        <f t="shared" si="2"/>
        <v>1.9587392748725538</v>
      </c>
      <c r="S12" s="64"/>
      <c r="T12" s="65" t="s">
        <v>78</v>
      </c>
      <c r="U12" s="65"/>
      <c r="V12" s="65"/>
      <c r="W12" s="65"/>
      <c r="X12" s="65"/>
      <c r="Y12" s="65"/>
      <c r="Z12" s="65"/>
      <c r="AA12" s="65"/>
      <c r="AB12" s="65"/>
    </row>
    <row r="13" spans="1:28" ht="15" x14ac:dyDescent="0.25">
      <c r="A13" s="4">
        <f t="shared" si="3"/>
        <v>5</v>
      </c>
      <c r="B13" s="34">
        <v>3.5</v>
      </c>
      <c r="C13" s="35">
        <v>41426</v>
      </c>
      <c r="D13" s="34">
        <v>104.99</v>
      </c>
      <c r="E13" s="37">
        <v>1.93</v>
      </c>
      <c r="G13" s="5">
        <f t="shared" si="5"/>
        <v>3.3186813186813189</v>
      </c>
      <c r="H13" s="56">
        <v>1.9750663158380807E-2</v>
      </c>
      <c r="I13" s="59">
        <v>-2.4190498060625938E-3</v>
      </c>
      <c r="K13" s="4">
        <f t="shared" si="1"/>
        <v>5</v>
      </c>
      <c r="L13" s="4">
        <f t="shared" si="0"/>
        <v>2</v>
      </c>
      <c r="M13" s="5">
        <f t="shared" si="4"/>
        <v>2.3186813186813184</v>
      </c>
      <c r="N13" s="31">
        <f>IF(A13&gt;L$6,"",splint(G$9:G$21,H$9:$H25,I$9:I$21,M13))</f>
        <v>1.4334968368852462E-2</v>
      </c>
      <c r="O13" s="5">
        <f t="shared" si="2"/>
        <v>1.9348455579453887</v>
      </c>
    </row>
    <row r="14" spans="1:28" ht="15" x14ac:dyDescent="0.25">
      <c r="A14" s="4">
        <f t="shared" si="3"/>
        <v>6</v>
      </c>
      <c r="B14" s="34">
        <v>2.5</v>
      </c>
      <c r="C14" s="35">
        <v>42156</v>
      </c>
      <c r="D14" s="34">
        <v>99.69</v>
      </c>
      <c r="E14" s="37">
        <v>2.56</v>
      </c>
      <c r="G14" s="5">
        <f t="shared" si="5"/>
        <v>5.3186813186813184</v>
      </c>
      <c r="H14" s="56">
        <v>2.6073142931933434E-2</v>
      </c>
      <c r="I14" s="59">
        <v>2.1187618726209814E-4</v>
      </c>
      <c r="K14" s="4">
        <f t="shared" si="1"/>
        <v>6</v>
      </c>
      <c r="L14" s="4">
        <f t="shared" si="0"/>
        <v>2</v>
      </c>
      <c r="M14" s="5">
        <f t="shared" si="4"/>
        <v>2.8186813186813184</v>
      </c>
      <c r="N14" s="31">
        <f>IF(A14&gt;L$6,"",splint(G$9:G$21,H$9:$H26,I$9:I$21,M14))</f>
        <v>1.7158767811161848E-2</v>
      </c>
      <c r="O14" s="5">
        <f t="shared" si="2"/>
        <v>1.9059648715093807</v>
      </c>
      <c r="S14" s="43" t="s">
        <v>104</v>
      </c>
      <c r="T14" s="30"/>
      <c r="U14" s="30"/>
      <c r="V14" s="30"/>
      <c r="W14" s="30"/>
      <c r="X14" s="30"/>
      <c r="Y14" s="30"/>
      <c r="Z14" s="30"/>
      <c r="AA14" s="30"/>
      <c r="AB14" s="30"/>
    </row>
    <row r="15" spans="1:28" ht="15" x14ac:dyDescent="0.25">
      <c r="A15" s="4">
        <f t="shared" si="3"/>
        <v>7</v>
      </c>
      <c r="B15" s="34">
        <v>4</v>
      </c>
      <c r="C15" s="35">
        <v>42887</v>
      </c>
      <c r="D15" s="34">
        <v>106.53</v>
      </c>
      <c r="E15" s="37">
        <v>3</v>
      </c>
      <c r="G15" s="5">
        <f t="shared" si="5"/>
        <v>7.3186813186813184</v>
      </c>
      <c r="H15" s="56">
        <v>3.103303918882263E-2</v>
      </c>
      <c r="I15" s="59">
        <v>-4.7233021798094902E-4</v>
      </c>
      <c r="K15" s="4">
        <f t="shared" si="1"/>
        <v>7</v>
      </c>
      <c r="L15" s="4">
        <f t="shared" si="0"/>
        <v>2</v>
      </c>
      <c r="M15" s="5">
        <f t="shared" si="4"/>
        <v>3.3186813186813184</v>
      </c>
      <c r="N15" s="31">
        <f>IF(A15&gt;L$6,"",splint(G$9:G$21,H$9:$H27,I$9:I$21,M15))</f>
        <v>1.9750663158380803E-2</v>
      </c>
      <c r="O15" s="5">
        <f t="shared" si="2"/>
        <v>1.8737139928845659</v>
      </c>
      <c r="S15" s="43" t="s">
        <v>72</v>
      </c>
      <c r="T15" s="30"/>
      <c r="U15" s="30"/>
      <c r="V15" s="30"/>
      <c r="W15" s="30"/>
      <c r="X15" s="30"/>
      <c r="Y15" s="30"/>
      <c r="Z15" s="30"/>
      <c r="AA15" s="30"/>
      <c r="AB15" s="30"/>
    </row>
    <row r="16" spans="1:28" ht="15" x14ac:dyDescent="0.25">
      <c r="A16" s="4">
        <f t="shared" si="3"/>
        <v>8</v>
      </c>
      <c r="B16" s="34">
        <v>3.5</v>
      </c>
      <c r="C16" s="35">
        <v>43983</v>
      </c>
      <c r="D16" s="34">
        <v>99.9</v>
      </c>
      <c r="E16" s="37">
        <v>3.51</v>
      </c>
      <c r="G16" s="5">
        <f t="shared" si="5"/>
        <v>10.318681318681319</v>
      </c>
      <c r="H16" s="56">
        <v>3.6548664382743734E-2</v>
      </c>
      <c r="I16" s="59">
        <v>1.503704741533039E-4</v>
      </c>
      <c r="K16" s="4">
        <f t="shared" si="1"/>
        <v>8</v>
      </c>
      <c r="L16" s="4">
        <f t="shared" si="0"/>
        <v>2</v>
      </c>
      <c r="M16" s="5">
        <f t="shared" si="4"/>
        <v>3.8186813186813184</v>
      </c>
      <c r="N16" s="31">
        <f>IF(A16&gt;L$6,"",splint(G$9:G$21,H$9:$H28,I$9:I$21,M16))</f>
        <v>2.1827344592585455E-2</v>
      </c>
      <c r="O16" s="5">
        <f t="shared" si="2"/>
        <v>1.8408861547212636</v>
      </c>
      <c r="S16" s="43" t="s">
        <v>70</v>
      </c>
      <c r="T16" s="30"/>
      <c r="U16" s="30"/>
      <c r="V16" s="30"/>
      <c r="W16" s="30"/>
      <c r="X16" s="30"/>
      <c r="Y16" s="30"/>
      <c r="Z16" s="30"/>
      <c r="AA16" s="30"/>
      <c r="AB16" s="30"/>
    </row>
    <row r="17" spans="1:28" ht="15" x14ac:dyDescent="0.25">
      <c r="A17" s="4">
        <f t="shared" si="3"/>
        <v>9</v>
      </c>
      <c r="B17" s="34">
        <v>9</v>
      </c>
      <c r="C17" s="35">
        <v>45809</v>
      </c>
      <c r="D17" s="34">
        <v>158.09</v>
      </c>
      <c r="E17" s="37">
        <v>3.92</v>
      </c>
      <c r="G17" s="5">
        <f t="shared" si="5"/>
        <v>15.318681318681319</v>
      </c>
      <c r="H17" s="56">
        <v>4.3783174005260272E-2</v>
      </c>
      <c r="I17" s="59">
        <v>-6.6775515466647485E-4</v>
      </c>
      <c r="K17" s="4">
        <f t="shared" si="1"/>
        <v>9</v>
      </c>
      <c r="L17" s="4">
        <f t="shared" si="0"/>
        <v>2</v>
      </c>
      <c r="M17" s="5">
        <f t="shared" si="4"/>
        <v>4.3186813186813184</v>
      </c>
      <c r="N17" s="31">
        <f>IF(A17&gt;L$6,"",splint(G$9:G$21,H$9:$H29,I$9:I$21,M17))</f>
        <v>2.3463696449857241E-2</v>
      </c>
      <c r="O17" s="5">
        <f t="shared" si="2"/>
        <v>1.808331779907949</v>
      </c>
      <c r="S17" s="43" t="s">
        <v>101</v>
      </c>
      <c r="T17" s="30"/>
      <c r="U17" s="30"/>
      <c r="V17" s="30"/>
      <c r="W17" s="30"/>
      <c r="X17" s="30"/>
      <c r="Y17" s="30"/>
      <c r="Z17" s="30"/>
      <c r="AA17" s="30"/>
      <c r="AB17" s="30"/>
    </row>
    <row r="18" spans="1:28" ht="15" x14ac:dyDescent="0.25">
      <c r="A18" s="4">
        <f t="shared" si="3"/>
        <v>10</v>
      </c>
      <c r="B18" s="34">
        <v>5.75</v>
      </c>
      <c r="C18" s="35">
        <v>47270</v>
      </c>
      <c r="D18" s="34">
        <v>122.96</v>
      </c>
      <c r="E18" s="37">
        <v>4.03</v>
      </c>
      <c r="G18" s="5">
        <f t="shared" si="5"/>
        <v>19.318681318681318</v>
      </c>
      <c r="H18" s="56">
        <v>4.2932520443761869E-2</v>
      </c>
      <c r="I18" s="59">
        <v>3.2758713099064352E-4</v>
      </c>
      <c r="K18" s="4">
        <f t="shared" si="1"/>
        <v>10</v>
      </c>
      <c r="L18" s="4">
        <f t="shared" si="0"/>
        <v>2</v>
      </c>
      <c r="M18" s="5">
        <f t="shared" si="4"/>
        <v>4.8186813186813184</v>
      </c>
      <c r="N18" s="31">
        <f>IF(A18&gt;L$6,"",splint(G$9:G$21,H$9:$H30,I$9:I$21,M18))</f>
        <v>2.4824151604778973E-2</v>
      </c>
      <c r="O18" s="5">
        <f t="shared" si="2"/>
        <v>1.7758226546683984</v>
      </c>
      <c r="S18" s="63" t="s">
        <v>105</v>
      </c>
      <c r="T18" s="30"/>
      <c r="U18" s="30"/>
      <c r="V18" s="30"/>
      <c r="W18" s="30"/>
      <c r="X18" s="30"/>
      <c r="Y18" s="30"/>
      <c r="Z18" s="30"/>
      <c r="AA18" s="30"/>
      <c r="AB18" s="30"/>
    </row>
    <row r="19" spans="1:28" ht="15" x14ac:dyDescent="0.25">
      <c r="A19" s="4">
        <f t="shared" si="3"/>
        <v>11</v>
      </c>
      <c r="B19" s="34">
        <v>5.75</v>
      </c>
      <c r="C19" s="35">
        <v>48731</v>
      </c>
      <c r="D19" s="34">
        <v>125.27</v>
      </c>
      <c r="E19" s="37">
        <v>4.0599999999999996</v>
      </c>
      <c r="G19" s="5">
        <f t="shared" si="5"/>
        <v>23.318681318681318</v>
      </c>
      <c r="H19" s="56">
        <v>4.2957362470663653E-2</v>
      </c>
      <c r="I19" s="59">
        <v>-3.142825236460293E-4</v>
      </c>
      <c r="K19" s="4">
        <f t="shared" si="1"/>
        <v>11</v>
      </c>
      <c r="L19" s="4">
        <f t="shared" si="0"/>
        <v>2</v>
      </c>
      <c r="M19" s="5">
        <f t="shared" si="4"/>
        <v>5.3186813186813184</v>
      </c>
      <c r="N19" s="31">
        <f>IF(A19&gt;L$6,"",splint(G$9:G$21,H$9:$H31,I$9:I$21,M19))</f>
        <v>2.6073142931933434E-2</v>
      </c>
      <c r="O19" s="5">
        <f t="shared" si="2"/>
        <v>1.742583154498065</v>
      </c>
      <c r="S19" s="63" t="s">
        <v>73</v>
      </c>
      <c r="T19" s="30"/>
      <c r="U19" s="30"/>
      <c r="V19" s="30"/>
      <c r="W19" s="30"/>
      <c r="X19" s="30"/>
      <c r="Y19" s="30"/>
      <c r="Z19" s="30"/>
      <c r="AA19" s="30"/>
      <c r="AB19" s="30"/>
    </row>
    <row r="20" spans="1:28" ht="15" x14ac:dyDescent="0.25">
      <c r="A20" s="4">
        <f t="shared" si="3"/>
        <v>12</v>
      </c>
      <c r="B20" s="34">
        <v>5</v>
      </c>
      <c r="C20" s="35">
        <v>50192</v>
      </c>
      <c r="D20" s="34">
        <v>116.55</v>
      </c>
      <c r="E20" s="37">
        <v>4</v>
      </c>
      <c r="G20" s="5">
        <f t="shared" si="5"/>
        <v>27.318681318681318</v>
      </c>
      <c r="H20" s="56">
        <v>4.1046523202330945E-2</v>
      </c>
      <c r="I20" s="59">
        <v>2.0366247788053952E-4</v>
      </c>
      <c r="K20" s="4">
        <f t="shared" si="1"/>
        <v>12</v>
      </c>
      <c r="L20" s="4">
        <f t="shared" si="0"/>
        <v>2</v>
      </c>
      <c r="M20" s="5">
        <f t="shared" si="4"/>
        <v>5.8186813186813184</v>
      </c>
      <c r="N20" s="31">
        <f>IF(A20&gt;L$6,"",splint(G$9:G$21,H$9:$H32,I$9:I$21,M20))</f>
        <v>2.7340570676751674E-2</v>
      </c>
      <c r="O20" s="5">
        <f t="shared" si="2"/>
        <v>1.7076850465183595</v>
      </c>
    </row>
    <row r="21" spans="1:28" ht="15" x14ac:dyDescent="0.25">
      <c r="A21" s="4">
        <f t="shared" si="3"/>
        <v>13</v>
      </c>
      <c r="B21" s="34">
        <v>4</v>
      </c>
      <c r="C21" s="35">
        <v>51653</v>
      </c>
      <c r="D21" s="34">
        <v>100.24</v>
      </c>
      <c r="E21" s="37">
        <v>3.99</v>
      </c>
      <c r="G21" s="5">
        <f t="shared" si="5"/>
        <v>31.318681318681318</v>
      </c>
      <c r="H21" s="56">
        <v>4.0481139065995111E-2</v>
      </c>
      <c r="I21" s="59">
        <v>4.1782866226990413E-6</v>
      </c>
      <c r="K21" s="4">
        <f t="shared" si="1"/>
        <v>13</v>
      </c>
      <c r="L21" s="4">
        <f t="shared" si="0"/>
        <v>2</v>
      </c>
      <c r="M21" s="5">
        <f t="shared" si="4"/>
        <v>6.3186813186813184</v>
      </c>
      <c r="N21" s="31">
        <f>IF(A21&gt;L$6,"",splint(G$9:G$21,H$9:$H33,I$9:I$21,M21))</f>
        <v>2.8618204568057744E-2</v>
      </c>
      <c r="O21" s="5">
        <f t="shared" si="2"/>
        <v>1.6712960576962343</v>
      </c>
    </row>
    <row r="22" spans="1:28" ht="15" x14ac:dyDescent="0.25">
      <c r="A22" s="4">
        <f t="shared" si="3"/>
        <v>14</v>
      </c>
      <c r="B22" s="37"/>
      <c r="C22" s="57"/>
      <c r="D22" s="37"/>
      <c r="E22" s="37"/>
      <c r="G22" s="5"/>
      <c r="H22" s="56"/>
      <c r="I22" s="59"/>
      <c r="K22" s="4">
        <f t="shared" si="1"/>
        <v>14</v>
      </c>
      <c r="L22" s="4">
        <f t="shared" si="0"/>
        <v>2</v>
      </c>
      <c r="M22" s="5">
        <f t="shared" si="4"/>
        <v>6.8186813186813184</v>
      </c>
      <c r="N22" s="31">
        <f>IF(A22&gt;L$6,"",splint(G$9:G$21,H$9:$H34,I$9:I$21,M22))</f>
        <v>2.9863281705523961E-2</v>
      </c>
      <c r="O22" s="5">
        <f t="shared" si="2"/>
        <v>1.6339890013622307</v>
      </c>
    </row>
    <row r="23" spans="1:28" ht="15" x14ac:dyDescent="0.25">
      <c r="A23" s="4">
        <f t="shared" si="3"/>
        <v>15</v>
      </c>
      <c r="B23" s="37"/>
      <c r="C23" s="57"/>
      <c r="D23" s="37"/>
      <c r="E23" s="37"/>
      <c r="G23" s="5"/>
      <c r="H23" s="56"/>
      <c r="I23" s="59"/>
      <c r="K23" s="4">
        <f t="shared" si="1"/>
        <v>15</v>
      </c>
      <c r="L23" s="4">
        <f t="shared" si="0"/>
        <v>2</v>
      </c>
      <c r="M23" s="5">
        <f t="shared" si="4"/>
        <v>7.3186813186813184</v>
      </c>
      <c r="N23" s="31">
        <f>IF(A23&gt;L$6,"",splint(G$9:G$21,H$9:$H35,I$9:I$21,M23))</f>
        <v>3.103303918882263E-2</v>
      </c>
      <c r="O23" s="5">
        <f t="shared" si="2"/>
        <v>1.5964306630801297</v>
      </c>
    </row>
    <row r="24" spans="1:28" ht="15" x14ac:dyDescent="0.25">
      <c r="A24" s="4">
        <f t="shared" si="3"/>
        <v>16</v>
      </c>
      <c r="B24" s="37"/>
      <c r="C24" s="57"/>
      <c r="D24" s="37"/>
      <c r="E24" s="37"/>
      <c r="G24" s="5"/>
      <c r="H24" s="56"/>
      <c r="I24" s="59"/>
      <c r="K24" s="4">
        <f t="shared" si="1"/>
        <v>16</v>
      </c>
      <c r="L24" s="4">
        <f t="shared" si="0"/>
        <v>2</v>
      </c>
      <c r="M24" s="5">
        <f t="shared" si="4"/>
        <v>7.8186813186813184</v>
      </c>
      <c r="N24" s="31">
        <f>IF(A24&gt;L$6,"",splint(G$9:G$21,H$9:$H36,I$9:I$21,M24))</f>
        <v>3.2096165578042721E-2</v>
      </c>
      <c r="O24" s="5">
        <f t="shared" si="2"/>
        <v>1.5592264513988712</v>
      </c>
    </row>
    <row r="25" spans="1:28" ht="15" x14ac:dyDescent="0.25">
      <c r="A25" s="4">
        <f t="shared" si="3"/>
        <v>17</v>
      </c>
      <c r="B25" s="37"/>
      <c r="C25" s="57"/>
      <c r="D25" s="37"/>
      <c r="E25" s="37"/>
      <c r="G25" s="5"/>
      <c r="H25" s="56"/>
      <c r="I25" s="59"/>
      <c r="K25" s="4">
        <f t="shared" si="1"/>
        <v>17</v>
      </c>
      <c r="L25" s="4">
        <f t="shared" si="0"/>
        <v>2</v>
      </c>
      <c r="M25" s="5">
        <f t="shared" si="4"/>
        <v>8.3186813186813175</v>
      </c>
      <c r="N25" s="31">
        <f>IF(A25&gt;L$6,"",splint(G$9:G$21,H$9:$H37,I$9:I$21,M25))</f>
        <v>3.3067155274939836E-2</v>
      </c>
      <c r="O25" s="5">
        <f t="shared" si="2"/>
        <v>1.5224506155822375</v>
      </c>
    </row>
    <row r="26" spans="1:28" ht="15" x14ac:dyDescent="0.25">
      <c r="A26" s="4">
        <f t="shared" si="3"/>
        <v>18</v>
      </c>
      <c r="B26" s="37"/>
      <c r="C26" s="57"/>
      <c r="D26" s="37"/>
      <c r="E26" s="37"/>
      <c r="G26" s="5"/>
      <c r="H26" s="56"/>
      <c r="I26" s="59"/>
      <c r="K26" s="4">
        <f t="shared" si="1"/>
        <v>18</v>
      </c>
      <c r="L26" s="4">
        <f t="shared" si="0"/>
        <v>2</v>
      </c>
      <c r="M26" s="5">
        <f t="shared" si="4"/>
        <v>8.8186813186813175</v>
      </c>
      <c r="N26" s="31">
        <f>IF(A26&gt;L$6,"",splint(G$9:G$21,H$9:$H38,I$9:I$21,M26))</f>
        <v>3.3971954141686231E-2</v>
      </c>
      <c r="O26" s="5">
        <f t="shared" si="2"/>
        <v>1.4859811909587153</v>
      </c>
    </row>
    <row r="27" spans="1:28" ht="15" x14ac:dyDescent="0.25">
      <c r="A27" s="4">
        <f t="shared" si="3"/>
        <v>19</v>
      </c>
      <c r="B27" s="37"/>
      <c r="C27" s="57"/>
      <c r="D27" s="37"/>
      <c r="E27" s="37"/>
      <c r="G27" s="5"/>
      <c r="H27" s="56"/>
      <c r="I27" s="59"/>
      <c r="K27" s="4">
        <f t="shared" si="1"/>
        <v>19</v>
      </c>
      <c r="L27" s="4">
        <f t="shared" si="0"/>
        <v>2</v>
      </c>
      <c r="M27" s="5">
        <f t="shared" si="4"/>
        <v>9.3186813186813175</v>
      </c>
      <c r="N27" s="31">
        <f>IF(A27&gt;L$6,"",splint(G$9:G$21,H$9:$H39,I$9:I$21,M27))</f>
        <v>3.4836508040454177E-2</v>
      </c>
      <c r="O27" s="5">
        <f t="shared" si="2"/>
        <v>1.4496348585983618</v>
      </c>
    </row>
    <row r="28" spans="1:28" ht="15" x14ac:dyDescent="0.25">
      <c r="A28" s="4">
        <f t="shared" si="3"/>
        <v>20</v>
      </c>
      <c r="B28" s="37"/>
      <c r="C28" s="57"/>
      <c r="D28" s="37"/>
      <c r="E28" s="37"/>
      <c r="G28" s="5"/>
      <c r="H28" s="56"/>
      <c r="I28" s="59"/>
      <c r="K28" s="4">
        <f t="shared" si="1"/>
        <v>20</v>
      </c>
      <c r="L28" s="4">
        <f t="shared" si="0"/>
        <v>2</v>
      </c>
      <c r="M28" s="5">
        <f t="shared" si="4"/>
        <v>9.8186813186813175</v>
      </c>
      <c r="N28" s="31">
        <f>IF(A28&gt;L$6,"",splint(G$9:G$21,H$9:$H40,I$9:I$21,M28))</f>
        <v>3.5686762833415916E-2</v>
      </c>
      <c r="O28" s="5">
        <f t="shared" si="2"/>
        <v>1.4131760170614733</v>
      </c>
    </row>
    <row r="29" spans="1:28" ht="15" x14ac:dyDescent="0.25">
      <c r="A29" s="4">
        <f t="shared" si="3"/>
        <v>21</v>
      </c>
      <c r="B29" s="37"/>
      <c r="C29" s="57"/>
      <c r="D29" s="37"/>
      <c r="E29" s="37"/>
      <c r="G29" s="5"/>
      <c r="H29" s="56"/>
      <c r="I29" s="59"/>
      <c r="K29" s="4">
        <f t="shared" si="1"/>
        <v>21</v>
      </c>
      <c r="L29" s="4">
        <f t="shared" si="0"/>
        <v>2</v>
      </c>
      <c r="M29" s="5">
        <f t="shared" si="4"/>
        <v>10.318681318681318</v>
      </c>
      <c r="N29" s="31">
        <f>IF(A29&gt;L$6,"",splint(G$9:G$21,H$9:$H41,I$9:I$21,M29))</f>
        <v>3.6548664382743734E-2</v>
      </c>
      <c r="O29" s="5">
        <f t="shared" si="2"/>
        <v>1.37632607149616</v>
      </c>
    </row>
    <row r="30" spans="1:28" ht="15" x14ac:dyDescent="0.25">
      <c r="A30" s="4">
        <f t="shared" si="3"/>
        <v>22</v>
      </c>
      <c r="B30" s="37"/>
      <c r="C30" s="57"/>
      <c r="D30" s="37"/>
      <c r="E30" s="37"/>
      <c r="G30" s="5"/>
      <c r="H30" s="56"/>
      <c r="I30" s="59"/>
      <c r="K30" s="4">
        <f t="shared" si="1"/>
        <v>22</v>
      </c>
      <c r="L30" s="4">
        <f t="shared" si="0"/>
        <v>2</v>
      </c>
      <c r="M30" s="5">
        <f t="shared" si="4"/>
        <v>10.818681318681318</v>
      </c>
      <c r="N30" s="31">
        <f>IF(A30&gt;L$6,"",splint(G$9:G$21,H$9:$H42,I$9:I$21,M30))</f>
        <v>3.7440425383461082E-2</v>
      </c>
      <c r="O30" s="5">
        <f t="shared" si="2"/>
        <v>1.3388832288253714</v>
      </c>
    </row>
    <row r="31" spans="1:28" ht="15" x14ac:dyDescent="0.25">
      <c r="A31" s="4">
        <f t="shared" si="3"/>
        <v>23</v>
      </c>
      <c r="B31" s="37"/>
      <c r="C31" s="57"/>
      <c r="D31" s="37"/>
      <c r="E31" s="37"/>
      <c r="G31" s="5"/>
      <c r="H31" s="1"/>
      <c r="I31" s="55"/>
      <c r="K31" s="4">
        <f t="shared" si="1"/>
        <v>23</v>
      </c>
      <c r="L31" s="4">
        <f t="shared" si="0"/>
        <v>2</v>
      </c>
      <c r="M31" s="5">
        <f t="shared" si="4"/>
        <v>11.318681318681318</v>
      </c>
      <c r="N31" s="31">
        <f>IF(A31&gt;L$6,"",splint(G$9:G$21,H$9:$H43,I$9:I$21,M31))</f>
        <v>3.8349325861996256E-2</v>
      </c>
      <c r="O31" s="5">
        <f t="shared" si="2"/>
        <v>1.3010770900713735</v>
      </c>
    </row>
    <row r="32" spans="1:28" ht="15" x14ac:dyDescent="0.25">
      <c r="A32" s="4">
        <f t="shared" si="3"/>
        <v>24</v>
      </c>
      <c r="B32" s="37"/>
      <c r="C32" s="57"/>
      <c r="D32" s="37"/>
      <c r="E32" s="37"/>
      <c r="G32" s="5"/>
      <c r="H32" s="1"/>
      <c r="I32" s="55"/>
      <c r="K32" s="4">
        <f t="shared" si="1"/>
        <v>24</v>
      </c>
      <c r="L32" s="4">
        <f t="shared" si="0"/>
        <v>2</v>
      </c>
      <c r="M32" s="5">
        <f t="shared" si="4"/>
        <v>11.818681318681318</v>
      </c>
      <c r="N32" s="31">
        <f>IF(A32&gt;L$6,"",splint(G$9:G$21,H$9:$H44,I$9:I$21,M32))</f>
        <v>3.9254912677628769E-2</v>
      </c>
      <c r="O32" s="5">
        <f t="shared" si="2"/>
        <v>1.2632656564715627</v>
      </c>
    </row>
    <row r="33" spans="1:18" ht="15" x14ac:dyDescent="0.25">
      <c r="A33" s="4">
        <f t="shared" si="3"/>
        <v>25</v>
      </c>
      <c r="B33" s="37"/>
      <c r="C33" s="57"/>
      <c r="D33" s="37"/>
      <c r="E33" s="37"/>
      <c r="G33" s="5"/>
      <c r="H33" s="1"/>
      <c r="I33" s="55"/>
      <c r="K33" s="4">
        <f t="shared" si="1"/>
        <v>25</v>
      </c>
      <c r="L33" s="4">
        <f t="shared" si="0"/>
        <v>2</v>
      </c>
      <c r="M33" s="5">
        <f t="shared" si="4"/>
        <v>12.318681318681318</v>
      </c>
      <c r="N33" s="31">
        <f>IF(A33&gt;L$6,"",splint(G$9:G$21,H$9:$H45,I$9:I$21,M33))</f>
        <v>4.0136732689638126E-2</v>
      </c>
      <c r="O33" s="5">
        <f t="shared" si="2"/>
        <v>1.2258216898941323</v>
      </c>
    </row>
    <row r="34" spans="1:18" x14ac:dyDescent="0.2">
      <c r="A34" s="4">
        <f t="shared" si="3"/>
        <v>26</v>
      </c>
      <c r="K34" s="4">
        <f t="shared" si="1"/>
        <v>26</v>
      </c>
      <c r="L34" s="4">
        <f t="shared" si="0"/>
        <v>2</v>
      </c>
      <c r="M34" s="5">
        <f t="shared" si="4"/>
        <v>12.818681318681318</v>
      </c>
      <c r="N34" s="31">
        <f>IF(A34&gt;L$6,"",splint(G$9:G$21,H$9:$H46,I$9:I$21,M34))</f>
        <v>4.0974332757303833E-2</v>
      </c>
      <c r="O34" s="5">
        <f t="shared" si="2"/>
        <v>1.1891255449263372</v>
      </c>
    </row>
    <row r="35" spans="1:18" x14ac:dyDescent="0.2">
      <c r="A35" s="4">
        <f t="shared" si="3"/>
        <v>27</v>
      </c>
      <c r="G35"/>
      <c r="H35"/>
      <c r="I35"/>
      <c r="J35"/>
      <c r="K35" s="4">
        <f t="shared" si="1"/>
        <v>27</v>
      </c>
      <c r="L35" s="4">
        <f t="shared" si="0"/>
        <v>2</v>
      </c>
      <c r="M35" s="5">
        <f t="shared" si="4"/>
        <v>13.318681318681318</v>
      </c>
      <c r="N35" s="31">
        <f>IF(A35&gt;L$6,"",splint(G$9:G$21,H$9:$H47,I$9:I$21,M35))</f>
        <v>4.1747259739905389E-2</v>
      </c>
      <c r="O35" s="5">
        <f t="shared" si="2"/>
        <v>1.1535593890931251</v>
      </c>
      <c r="R35"/>
    </row>
    <row r="36" spans="1:18" x14ac:dyDescent="0.2">
      <c r="A36" s="4">
        <f t="shared" si="3"/>
        <v>28</v>
      </c>
      <c r="G36"/>
      <c r="H36"/>
      <c r="I36"/>
      <c r="J36"/>
      <c r="K36" s="4">
        <f t="shared" si="1"/>
        <v>28</v>
      </c>
      <c r="L36" s="4">
        <f t="shared" si="0"/>
        <v>2</v>
      </c>
      <c r="M36" s="5">
        <f t="shared" si="4"/>
        <v>13.818681318681318</v>
      </c>
      <c r="N36" s="31">
        <f>IF(A36&gt;L$6,"",splint(G$9:G$21,H$9:$H48,I$9:I$21,M36))</f>
        <v>4.2435060496722313E-2</v>
      </c>
      <c r="O36" s="5">
        <f t="shared" si="2"/>
        <v>1.1195031020027988</v>
      </c>
      <c r="P36"/>
      <c r="Q36"/>
      <c r="R36"/>
    </row>
    <row r="37" spans="1:18" x14ac:dyDescent="0.2">
      <c r="A37" s="4">
        <f t="shared" si="3"/>
        <v>29</v>
      </c>
      <c r="G37"/>
      <c r="H37"/>
      <c r="I37"/>
      <c r="J37"/>
      <c r="K37" s="4">
        <f t="shared" si="1"/>
        <v>29</v>
      </c>
      <c r="L37" s="4">
        <f t="shared" si="0"/>
        <v>2</v>
      </c>
      <c r="M37" s="5">
        <f t="shared" si="4"/>
        <v>14.318681318681318</v>
      </c>
      <c r="N37" s="31">
        <f>IF(A37&gt;L$6,"",splint(G$9:G$21,H$9:$H49,I$9:I$21,M37))</f>
        <v>4.3017281887034083E-2</v>
      </c>
      <c r="O37" s="5">
        <f t="shared" si="2"/>
        <v>1.0873321030636907</v>
      </c>
      <c r="P37"/>
      <c r="Q37"/>
      <c r="R37"/>
    </row>
    <row r="38" spans="1:18" x14ac:dyDescent="0.2">
      <c r="A38" s="4">
        <f t="shared" si="3"/>
        <v>30</v>
      </c>
      <c r="G38"/>
      <c r="H38"/>
      <c r="I38"/>
      <c r="J38"/>
      <c r="K38" s="4">
        <f t="shared" si="1"/>
        <v>30</v>
      </c>
      <c r="L38" s="4">
        <f t="shared" si="0"/>
        <v>2</v>
      </c>
      <c r="M38" s="5">
        <f t="shared" si="4"/>
        <v>14.818681318681318</v>
      </c>
      <c r="N38" s="31">
        <f>IF(A38&gt;L$6,"",splint(G$9:G$21,H$9:$H50,I$9:I$21,M38))</f>
        <v>4.3473470770120246E-2</v>
      </c>
      <c r="O38" s="5">
        <f t="shared" si="2"/>
        <v>1.0574173260812412</v>
      </c>
      <c r="P38"/>
      <c r="Q38"/>
      <c r="R38"/>
    </row>
    <row r="39" spans="1:18" x14ac:dyDescent="0.2">
      <c r="A39" s="4">
        <f t="shared" si="3"/>
        <v>31</v>
      </c>
      <c r="G39"/>
      <c r="H39"/>
      <c r="I39"/>
      <c r="J39"/>
      <c r="K39" s="4">
        <f t="shared" si="1"/>
        <v>31</v>
      </c>
      <c r="L39" s="4">
        <f t="shared" si="0"/>
        <v>2</v>
      </c>
      <c r="M39" s="5">
        <f t="shared" si="4"/>
        <v>15.318681318681318</v>
      </c>
      <c r="N39" s="31">
        <f>IF(A39&gt;L$6,"",splint(G$9:G$21,H$9:$H51,I$9:I$21,M39))</f>
        <v>4.3783174005260272E-2</v>
      </c>
      <c r="O39" s="5">
        <f t="shared" si="2"/>
        <v>1.0301275466527031</v>
      </c>
      <c r="P39"/>
      <c r="Q39"/>
      <c r="R39"/>
    </row>
    <row r="40" spans="1:18" x14ac:dyDescent="0.2">
      <c r="A40" s="4">
        <f t="shared" si="3"/>
        <v>32</v>
      </c>
      <c r="G40"/>
      <c r="H40"/>
      <c r="I40"/>
      <c r="J40"/>
      <c r="K40" s="4">
        <f t="shared" si="1"/>
        <v>32</v>
      </c>
      <c r="L40" s="4">
        <f t="shared" si="0"/>
        <v>2</v>
      </c>
      <c r="M40" s="5">
        <f t="shared" si="4"/>
        <v>15.818681318681318</v>
      </c>
      <c r="N40" s="31">
        <f>IF(A40&gt;L$6,"",splint(G$9:G$21,H$9:$H52,I$9:I$21,M40))</f>
        <v>4.3934531382924899E-2</v>
      </c>
      <c r="O40" s="5">
        <f t="shared" si="2"/>
        <v>1.0057005100347969</v>
      </c>
      <c r="P40"/>
      <c r="Q40"/>
      <c r="R40"/>
    </row>
    <row r="41" spans="1:18" x14ac:dyDescent="0.2">
      <c r="A41" s="4">
        <f t="shared" si="3"/>
        <v>33</v>
      </c>
      <c r="G41"/>
      <c r="H41"/>
      <c r="I41"/>
      <c r="J41"/>
      <c r="K41" s="4">
        <f t="shared" si="1"/>
        <v>33</v>
      </c>
      <c r="L41" s="4">
        <f t="shared" ref="L41:L72" si="6">IF($A41&gt;L$6,"",IF($A41&lt;L$6,M$5/$C$5,M$5/$C$5+$C$4))</f>
        <v>2</v>
      </c>
      <c r="M41" s="5">
        <f t="shared" si="4"/>
        <v>16.318681318681318</v>
      </c>
      <c r="N41" s="31">
        <f>IF(A41&gt;L$6,"",splint(G$9:G$21,H$9:$H53,I$9:I$21,M41))</f>
        <v>4.3950054418349684E-2</v>
      </c>
      <c r="O41" s="5">
        <f t="shared" si="2"/>
        <v>0.98383900561912196</v>
      </c>
      <c r="P41"/>
      <c r="Q41"/>
      <c r="R41"/>
    </row>
    <row r="42" spans="1:18" x14ac:dyDescent="0.2">
      <c r="A42" s="4">
        <f t="shared" si="3"/>
        <v>34</v>
      </c>
      <c r="G42"/>
      <c r="H42"/>
      <c r="I42"/>
      <c r="J42"/>
      <c r="K42" s="4">
        <f t="shared" ref="K42:K73" si="7">IF($A42&gt;L$6,"",K41+1)</f>
        <v>34</v>
      </c>
      <c r="L42" s="4">
        <f t="shared" si="6"/>
        <v>2</v>
      </c>
      <c r="M42" s="5">
        <f t="shared" si="4"/>
        <v>16.818681318681318</v>
      </c>
      <c r="N42" s="31">
        <f>IF(A42&gt;L$6,"",splint(G$9:G$21,H$9:$H54,I$9:I$21,M42))</f>
        <v>4.3860847557961428E-2</v>
      </c>
      <c r="O42" s="5">
        <f t="shared" si="2"/>
        <v>0.96409836511458635</v>
      </c>
      <c r="P42"/>
      <c r="Q42"/>
      <c r="R42"/>
    </row>
    <row r="43" spans="1:18" x14ac:dyDescent="0.2">
      <c r="A43" s="4">
        <f t="shared" si="3"/>
        <v>35</v>
      </c>
      <c r="G43"/>
      <c r="H43"/>
      <c r="I43"/>
      <c r="J43"/>
      <c r="K43" s="4">
        <f t="shared" si="7"/>
        <v>35</v>
      </c>
      <c r="L43" s="4">
        <f t="shared" si="6"/>
        <v>2</v>
      </c>
      <c r="M43" s="5">
        <f t="shared" si="4"/>
        <v>17.318681318681318</v>
      </c>
      <c r="N43" s="31">
        <f>IF(A43&gt;L$6,"",splint(G$9:G$21,H$9:$H55,I$9:I$21,M43))</f>
        <v>4.3698015248186901E-2</v>
      </c>
      <c r="O43" s="5">
        <f t="shared" si="2"/>
        <v>0.94601606433115326</v>
      </c>
      <c r="P43"/>
      <c r="Q43"/>
      <c r="R43"/>
    </row>
    <row r="44" spans="1:18" x14ac:dyDescent="0.2">
      <c r="A44" s="4">
        <f t="shared" si="3"/>
        <v>36</v>
      </c>
      <c r="G44"/>
      <c r="H44"/>
      <c r="I44"/>
      <c r="J44" s="41"/>
      <c r="K44" s="4">
        <f t="shared" si="7"/>
        <v>36</v>
      </c>
      <c r="L44" s="4">
        <f t="shared" si="6"/>
        <v>2</v>
      </c>
      <c r="M44" s="5">
        <f t="shared" si="4"/>
        <v>17.818681318681318</v>
      </c>
      <c r="N44" s="31">
        <f>IF(A44&gt;L$6,"",splint(G$9:G$21,H$9:$H56,I$9:I$21,M44))</f>
        <v>4.3492661935452898E-2</v>
      </c>
      <c r="O44" s="5">
        <f t="shared" si="2"/>
        <v>0.92910975755960634</v>
      </c>
      <c r="P44"/>
      <c r="Q44"/>
      <c r="R44" s="41"/>
    </row>
    <row r="45" spans="1:18" x14ac:dyDescent="0.2">
      <c r="A45" s="4">
        <f t="shared" si="3"/>
        <v>37</v>
      </c>
      <c r="G45"/>
      <c r="H45"/>
      <c r="I45"/>
      <c r="J45"/>
      <c r="K45" s="4">
        <f t="shared" si="7"/>
        <v>37</v>
      </c>
      <c r="L45" s="4">
        <f t="shared" si="6"/>
        <v>2</v>
      </c>
      <c r="M45" s="5">
        <f t="shared" si="4"/>
        <v>18.318681318681318</v>
      </c>
      <c r="N45" s="31">
        <f>IF(A45&gt;L$6,"",splint(G$9:G$21,H$9:$H57,I$9:I$21,M45))</f>
        <v>4.3275892066186206E-2</v>
      </c>
      <c r="O45" s="5">
        <f t="shared" si="2"/>
        <v>0.91287618140268789</v>
      </c>
      <c r="P45" s="41"/>
      <c r="Q45" s="41"/>
      <c r="R45"/>
    </row>
    <row r="46" spans="1:18" x14ac:dyDescent="0.2">
      <c r="A46" s="4">
        <f t="shared" si="3"/>
        <v>38</v>
      </c>
      <c r="G46"/>
      <c r="H46"/>
      <c r="I46"/>
      <c r="J46"/>
      <c r="K46" s="4">
        <f t="shared" si="7"/>
        <v>38</v>
      </c>
      <c r="L46" s="4">
        <f t="shared" si="6"/>
        <v>2</v>
      </c>
      <c r="M46" s="5">
        <f t="shared" si="4"/>
        <v>18.818681318681318</v>
      </c>
      <c r="N46" s="31">
        <f>IF(A46&gt;L$6,"",splint(G$9:G$21,H$9:$H58,I$9:I$21,M46))</f>
        <v>4.3078810086813593E-2</v>
      </c>
      <c r="O46" s="5">
        <f t="shared" si="2"/>
        <v>0.8967916239260002</v>
      </c>
      <c r="P46"/>
      <c r="Q46"/>
      <c r="R46"/>
    </row>
    <row r="47" spans="1:18" x14ac:dyDescent="0.2">
      <c r="A47" s="4">
        <f t="shared" si="3"/>
        <v>39</v>
      </c>
      <c r="G47"/>
      <c r="H47"/>
      <c r="I47"/>
      <c r="J47"/>
      <c r="K47" s="4">
        <f t="shared" si="7"/>
        <v>39</v>
      </c>
      <c r="L47" s="4">
        <f t="shared" si="6"/>
        <v>2</v>
      </c>
      <c r="M47" s="5">
        <f t="shared" si="4"/>
        <v>19.318681318681318</v>
      </c>
      <c r="N47" s="31">
        <f>IF(A47&gt;L$6,"",splint(G$9:G$21,H$9:$H59,I$9:I$21,M47))</f>
        <v>4.2932520443761869E-2</v>
      </c>
      <c r="O47" s="5">
        <f t="shared" si="2"/>
        <v>0.88031469730376766</v>
      </c>
      <c r="P47"/>
      <c r="Q47"/>
      <c r="R47"/>
    </row>
    <row r="48" spans="1:18" x14ac:dyDescent="0.2">
      <c r="A48" s="4">
        <f t="shared" si="3"/>
        <v>40</v>
      </c>
      <c r="G48"/>
      <c r="H48"/>
      <c r="I48"/>
      <c r="J48" s="41"/>
      <c r="K48" s="4">
        <f t="shared" si="7"/>
        <v>40</v>
      </c>
      <c r="L48" s="4">
        <f t="shared" si="6"/>
        <v>2</v>
      </c>
      <c r="M48" s="5">
        <f t="shared" si="4"/>
        <v>19.818681318681318</v>
      </c>
      <c r="N48" s="31">
        <f>IF(A48&gt;L$6,"",splint(G$9:G$21,H$9:$H60,I$9:I$21,M48))</f>
        <v>4.2859600437935436E-2</v>
      </c>
      <c r="O48" s="5">
        <f t="shared" si="2"/>
        <v>0.86303494437279871</v>
      </c>
      <c r="P48"/>
      <c r="Q48"/>
      <c r="R48" s="41"/>
    </row>
    <row r="49" spans="1:18" x14ac:dyDescent="0.2">
      <c r="A49" s="4">
        <f t="shared" si="3"/>
        <v>41</v>
      </c>
      <c r="G49"/>
      <c r="H49"/>
      <c r="I49"/>
      <c r="J49"/>
      <c r="K49" s="4">
        <f t="shared" si="7"/>
        <v>41</v>
      </c>
      <c r="L49" s="4">
        <f t="shared" si="6"/>
        <v>2</v>
      </c>
      <c r="M49" s="5">
        <f t="shared" si="4"/>
        <v>20.318681318681318</v>
      </c>
      <c r="N49" s="31">
        <f>IF(A49&gt;L$6,"",splint(G$9:G$21,H$9:$H61,I$9:I$21,M49))</f>
        <v>4.284851878814927E-2</v>
      </c>
      <c r="O49" s="5">
        <f t="shared" si="2"/>
        <v>0.84511457717562544</v>
      </c>
      <c r="P49" s="41"/>
      <c r="Q49" s="41"/>
      <c r="R49"/>
    </row>
    <row r="50" spans="1:18" x14ac:dyDescent="0.2">
      <c r="A50" s="4">
        <f t="shared" si="3"/>
        <v>42</v>
      </c>
      <c r="G50"/>
      <c r="H50"/>
      <c r="I50"/>
      <c r="J50"/>
      <c r="K50" s="4">
        <f t="shared" si="7"/>
        <v>42</v>
      </c>
      <c r="L50" s="4">
        <f t="shared" si="6"/>
        <v>2</v>
      </c>
      <c r="M50" s="5">
        <f t="shared" si="4"/>
        <v>20.818681318681318</v>
      </c>
      <c r="N50" s="31">
        <f>IF(A50&gt;L$6,"",splint(G$9:G$21,H$9:$H62,I$9:I$21,M50))</f>
        <v>4.2879217067695971E-2</v>
      </c>
      <c r="O50" s="5">
        <f t="shared" si="2"/>
        <v>0.82687086854754788</v>
      </c>
      <c r="P50"/>
      <c r="Q50"/>
      <c r="R50"/>
    </row>
    <row r="51" spans="1:18" x14ac:dyDescent="0.2">
      <c r="A51" s="4">
        <f t="shared" si="3"/>
        <v>43</v>
      </c>
      <c r="G51"/>
      <c r="H51"/>
      <c r="I51"/>
      <c r="J51"/>
      <c r="K51" s="4">
        <f t="shared" si="7"/>
        <v>43</v>
      </c>
      <c r="L51" s="4">
        <f t="shared" si="6"/>
        <v>2</v>
      </c>
      <c r="M51" s="5">
        <f t="shared" si="4"/>
        <v>21.318681318681318</v>
      </c>
      <c r="N51" s="31">
        <f>IF(A51&gt;L$6,"",splint(G$9:G$21,H$9:$H63,I$9:I$21,M51))</f>
        <v>4.293163684986815E-2</v>
      </c>
      <c r="O51" s="5">
        <f t="shared" si="2"/>
        <v>0.80863001397044942</v>
      </c>
      <c r="P51"/>
      <c r="Q51"/>
      <c r="R51"/>
    </row>
    <row r="52" spans="1:18" x14ac:dyDescent="0.2">
      <c r="A52" s="4">
        <f t="shared" si="3"/>
        <v>44</v>
      </c>
      <c r="G52"/>
      <c r="H52"/>
      <c r="I52"/>
      <c r="J52"/>
      <c r="K52" s="4">
        <f t="shared" si="7"/>
        <v>44</v>
      </c>
      <c r="L52" s="4">
        <f t="shared" si="6"/>
        <v>2</v>
      </c>
      <c r="M52" s="5">
        <f t="shared" si="4"/>
        <v>21.818681318681318</v>
      </c>
      <c r="N52" s="31">
        <f>IF(A52&gt;L$6,"",splint(G$9:G$21,H$9:$H64,I$9:I$21,M52))</f>
        <v>4.2985719707958399E-2</v>
      </c>
      <c r="O52" s="5">
        <f t="shared" si="2"/>
        <v>0.79072290664928424</v>
      </c>
      <c r="P52"/>
      <c r="Q52"/>
      <c r="R52"/>
    </row>
    <row r="53" spans="1:18" x14ac:dyDescent="0.2">
      <c r="A53" s="4">
        <f t="shared" si="3"/>
        <v>45</v>
      </c>
      <c r="G53"/>
      <c r="H53"/>
      <c r="I53"/>
      <c r="J53"/>
      <c r="K53" s="4">
        <f t="shared" si="7"/>
        <v>45</v>
      </c>
      <c r="L53" s="4">
        <f t="shared" si="6"/>
        <v>2</v>
      </c>
      <c r="M53" s="5">
        <f t="shared" si="4"/>
        <v>22.318681318681318</v>
      </c>
      <c r="N53" s="31">
        <f>IF(A53&gt;L$6,"",splint(G$9:G$21,H$9:$H65,I$9:I$21,M53))</f>
        <v>4.3021407215259329E-2</v>
      </c>
      <c r="O53" s="5">
        <f t="shared" si="2"/>
        <v>0.77348224905983631</v>
      </c>
      <c r="P53"/>
      <c r="Q53"/>
      <c r="R53"/>
    </row>
    <row r="54" spans="1:18" x14ac:dyDescent="0.2">
      <c r="A54" s="4">
        <f t="shared" si="3"/>
        <v>46</v>
      </c>
      <c r="G54" s="41"/>
      <c r="H54" s="41"/>
      <c r="I54" s="41"/>
      <c r="J54"/>
      <c r="K54" s="4">
        <f t="shared" si="7"/>
        <v>46</v>
      </c>
      <c r="L54" s="4">
        <f t="shared" si="6"/>
        <v>2</v>
      </c>
      <c r="M54" s="5">
        <f t="shared" si="4"/>
        <v>22.818681318681318</v>
      </c>
      <c r="N54" s="31">
        <f>IF(A54&gt;L$6,"",splint(G$9:G$21,H$9:$H66,I$9:I$21,M54))</f>
        <v>4.3018640945063545E-2</v>
      </c>
      <c r="O54" s="5">
        <f t="shared" si="2"/>
        <v>0.75724125449606872</v>
      </c>
      <c r="P54"/>
      <c r="Q54"/>
      <c r="R54"/>
    </row>
    <row r="55" spans="1:18" x14ac:dyDescent="0.2">
      <c r="A55" s="4">
        <f t="shared" si="3"/>
        <v>47</v>
      </c>
      <c r="G55"/>
      <c r="H55"/>
      <c r="I55"/>
      <c r="K55" s="4">
        <f t="shared" si="7"/>
        <v>47</v>
      </c>
      <c r="L55" s="4">
        <f t="shared" si="6"/>
        <v>2</v>
      </c>
      <c r="M55" s="5">
        <f t="shared" si="4"/>
        <v>23.318681318681318</v>
      </c>
      <c r="N55" s="31">
        <f>IF(A55&gt;L$6,"",splint(G$9:G$21,H$9:$H67,I$9:I$21,M55))</f>
        <v>4.2957362470663653E-2</v>
      </c>
      <c r="O55" s="5">
        <f t="shared" si="2"/>
        <v>0.74233417118739708</v>
      </c>
      <c r="P55"/>
      <c r="Q55"/>
    </row>
    <row r="56" spans="1:18" x14ac:dyDescent="0.2">
      <c r="A56" s="4">
        <f t="shared" si="3"/>
        <v>48</v>
      </c>
      <c r="G56"/>
      <c r="H56"/>
      <c r="I56"/>
      <c r="J56"/>
      <c r="K56" s="4">
        <f t="shared" si="7"/>
        <v>48</v>
      </c>
      <c r="L56" s="4">
        <f t="shared" si="6"/>
        <v>2</v>
      </c>
      <c r="M56" s="5">
        <f t="shared" si="4"/>
        <v>23.818681318681318</v>
      </c>
      <c r="N56" s="31">
        <f>IF(A56&gt;L$6,"",splint(G$9:G$21,H$9:$H68,I$9:I$21,M56))</f>
        <v>4.2823554066686427E-2</v>
      </c>
      <c r="O56" s="5">
        <f t="shared" si="2"/>
        <v>0.72899616257848665</v>
      </c>
      <c r="R56"/>
    </row>
    <row r="57" spans="1:18" x14ac:dyDescent="0.2">
      <c r="A57" s="4">
        <f t="shared" si="3"/>
        <v>49</v>
      </c>
      <c r="G57"/>
      <c r="H57"/>
      <c r="I57"/>
      <c r="J57"/>
      <c r="K57" s="4">
        <f t="shared" si="7"/>
        <v>49</v>
      </c>
      <c r="L57" s="4">
        <f t="shared" si="6"/>
        <v>2</v>
      </c>
      <c r="M57" s="5">
        <f t="shared" si="4"/>
        <v>24.318681318681318</v>
      </c>
      <c r="N57" s="31">
        <f>IF(A57&gt;L$6,"",splint(G$9:G$21,H$9:$H69,I$9:I$21,M57))</f>
        <v>4.2627360813095413E-2</v>
      </c>
      <c r="O57" s="5">
        <f t="shared" si="2"/>
        <v>0.71705609313174634</v>
      </c>
      <c r="P57"/>
      <c r="Q57"/>
      <c r="R57"/>
    </row>
    <row r="58" spans="1:18" x14ac:dyDescent="0.2">
      <c r="A58" s="4">
        <f t="shared" si="3"/>
        <v>50</v>
      </c>
      <c r="G58"/>
      <c r="H58"/>
      <c r="I58"/>
      <c r="J58"/>
      <c r="K58" s="4">
        <f t="shared" si="7"/>
        <v>50</v>
      </c>
      <c r="L58" s="4">
        <f t="shared" si="6"/>
        <v>2</v>
      </c>
      <c r="M58" s="5">
        <f t="shared" si="4"/>
        <v>24.818681318681318</v>
      </c>
      <c r="N58" s="31">
        <f>IF(A58&gt;L$6,"",splint(G$9:G$21,H$9:$H70,I$9:I$21,M58))</f>
        <v>4.23849684911883E-2</v>
      </c>
      <c r="O58" s="5">
        <f t="shared" si="2"/>
        <v>0.70623992232655064</v>
      </c>
      <c r="P58"/>
      <c r="Q58"/>
      <c r="R58"/>
    </row>
    <row r="59" spans="1:18" x14ac:dyDescent="0.2">
      <c r="A59" s="4">
        <f t="shared" si="3"/>
        <v>51</v>
      </c>
      <c r="G59"/>
      <c r="H59"/>
      <c r="I59"/>
      <c r="J59"/>
      <c r="K59" s="4">
        <f t="shared" si="7"/>
        <v>51</v>
      </c>
      <c r="L59" s="4">
        <f t="shared" si="6"/>
        <v>2</v>
      </c>
      <c r="M59" s="5">
        <f t="shared" si="4"/>
        <v>25.318681318681318</v>
      </c>
      <c r="N59" s="31">
        <f>IF(A59&gt;L$6,"",splint(G$9:G$21,H$9:$H71,I$9:I$21,M59))</f>
        <v>4.211256288226279E-2</v>
      </c>
      <c r="O59" s="5">
        <f t="shared" si="2"/>
        <v>0.69627050223305276</v>
      </c>
      <c r="P59"/>
      <c r="Q59"/>
      <c r="R59"/>
    </row>
    <row r="60" spans="1:18" x14ac:dyDescent="0.2">
      <c r="A60" s="4">
        <f t="shared" si="3"/>
        <v>52</v>
      </c>
      <c r="G60"/>
      <c r="H60"/>
      <c r="I60"/>
      <c r="J60"/>
      <c r="K60" s="4">
        <f t="shared" si="7"/>
        <v>52</v>
      </c>
      <c r="L60" s="4">
        <f t="shared" si="6"/>
        <v>2</v>
      </c>
      <c r="M60" s="5">
        <f t="shared" si="4"/>
        <v>25.818681318681318</v>
      </c>
      <c r="N60" s="31">
        <f>IF(A60&gt;L$6,"",splint(G$9:G$21,H$9:$H72,I$9:I$21,M60))</f>
        <v>4.1826329767616591E-2</v>
      </c>
      <c r="O60" s="5">
        <f t="shared" si="2"/>
        <v>0.68686574052138838</v>
      </c>
      <c r="P60"/>
      <c r="Q60"/>
      <c r="R60"/>
    </row>
    <row r="61" spans="1:18" x14ac:dyDescent="0.2">
      <c r="A61" s="4">
        <f t="shared" si="3"/>
        <v>53</v>
      </c>
      <c r="G61"/>
      <c r="H61"/>
      <c r="I61"/>
      <c r="J61"/>
      <c r="K61" s="4">
        <f t="shared" si="7"/>
        <v>53</v>
      </c>
      <c r="L61" s="4">
        <f t="shared" si="6"/>
        <v>2</v>
      </c>
      <c r="M61" s="5">
        <f t="shared" si="4"/>
        <v>26.318681318681318</v>
      </c>
      <c r="N61" s="31">
        <f>IF(A61&gt;L$6,"",splint(G$9:G$21,H$9:$H73,I$9:I$21,M61))</f>
        <v>4.1542454928547419E-2</v>
      </c>
      <c r="O61" s="5">
        <f t="shared" si="2"/>
        <v>0.67773749143470752</v>
      </c>
      <c r="P61"/>
      <c r="Q61"/>
      <c r="R61"/>
    </row>
    <row r="62" spans="1:18" x14ac:dyDescent="0.2">
      <c r="A62" s="4">
        <f t="shared" si="3"/>
        <v>54</v>
      </c>
      <c r="G62"/>
      <c r="H62"/>
      <c r="I62"/>
      <c r="J62"/>
      <c r="K62" s="4">
        <f t="shared" si="7"/>
        <v>54</v>
      </c>
      <c r="L62" s="4">
        <f t="shared" si="6"/>
        <v>2</v>
      </c>
      <c r="M62" s="5">
        <f t="shared" si="4"/>
        <v>26.818681318681318</v>
      </c>
      <c r="N62" s="31">
        <f>IF(A62&gt;L$6,"",splint(G$9:G$21,H$9:$H74,I$9:I$21,M62))</f>
        <v>4.127712414635297E-2</v>
      </c>
      <c r="O62" s="5">
        <f t="shared" si="2"/>
        <v>0.66859136792147933</v>
      </c>
      <c r="P62"/>
      <c r="Q62"/>
      <c r="R62"/>
    </row>
    <row r="63" spans="1:18" x14ac:dyDescent="0.2">
      <c r="A63" s="4">
        <f t="shared" si="3"/>
        <v>55</v>
      </c>
      <c r="G63"/>
      <c r="H63"/>
      <c r="I63"/>
      <c r="J63"/>
      <c r="K63" s="4">
        <f t="shared" si="7"/>
        <v>55</v>
      </c>
      <c r="L63" s="4">
        <f t="shared" si="6"/>
        <v>2</v>
      </c>
      <c r="M63" s="5">
        <f t="shared" si="4"/>
        <v>27.318681318681318</v>
      </c>
      <c r="N63" s="31">
        <f>IF(A63&gt;L$6,"",splint(G$9:G$21,H$9:$H75,I$9:I$21,M63))</f>
        <v>4.1046523202330945E-2</v>
      </c>
      <c r="O63" s="5">
        <f t="shared" si="2"/>
        <v>0.65912768076744821</v>
      </c>
      <c r="P63"/>
      <c r="Q63"/>
      <c r="R63"/>
    </row>
    <row r="64" spans="1:18" x14ac:dyDescent="0.2">
      <c r="A64" s="4">
        <f t="shared" si="3"/>
        <v>56</v>
      </c>
      <c r="G64"/>
      <c r="H64"/>
      <c r="I64"/>
      <c r="J64"/>
      <c r="K64" s="4">
        <f t="shared" si="7"/>
        <v>56</v>
      </c>
      <c r="L64" s="4">
        <f t="shared" si="6"/>
        <v>2</v>
      </c>
      <c r="M64" s="5">
        <f t="shared" si="4"/>
        <v>27.818681318681318</v>
      </c>
      <c r="N64" s="31">
        <f>IF(A64&gt;L$6,"",splint(G$9:G$21,H$9:$H76,I$9:I$21,M64))</f>
        <v>4.0863101267399976E-2</v>
      </c>
      <c r="O64" s="5">
        <f t="shared" si="2"/>
        <v>0.6491098310626201</v>
      </c>
      <c r="P64"/>
      <c r="Q64"/>
      <c r="R64"/>
    </row>
    <row r="65" spans="1:18" x14ac:dyDescent="0.2">
      <c r="A65" s="4">
        <f t="shared" si="3"/>
        <v>57</v>
      </c>
      <c r="G65"/>
      <c r="H65"/>
      <c r="I65"/>
      <c r="J65"/>
      <c r="K65" s="4">
        <f t="shared" si="7"/>
        <v>57</v>
      </c>
      <c r="L65" s="4">
        <f t="shared" si="6"/>
        <v>2</v>
      </c>
      <c r="M65" s="5">
        <f t="shared" si="4"/>
        <v>28.318681318681318</v>
      </c>
      <c r="N65" s="31">
        <f>IF(A65&gt;L$6,"",splint(G$9:G$21,H$9:$H77,I$9:I$21,M65))</f>
        <v>4.0724361070962327E-2</v>
      </c>
      <c r="O65" s="5">
        <f t="shared" si="2"/>
        <v>0.6385670681856882</v>
      </c>
      <c r="P65"/>
      <c r="Q65"/>
      <c r="R65"/>
    </row>
    <row r="66" spans="1:18" x14ac:dyDescent="0.2">
      <c r="A66" s="4">
        <f t="shared" si="3"/>
        <v>58</v>
      </c>
      <c r="G66"/>
      <c r="H66"/>
      <c r="I66"/>
      <c r="J66"/>
      <c r="K66" s="4">
        <f t="shared" si="7"/>
        <v>58</v>
      </c>
      <c r="L66" s="4">
        <f t="shared" si="6"/>
        <v>2</v>
      </c>
      <c r="M66" s="5">
        <f t="shared" si="4"/>
        <v>28.818681318681318</v>
      </c>
      <c r="N66" s="31">
        <f>IF(A66&gt;L$6,"",splint(G$9:G$21,H$9:$H78,I$9:I$21,M66))</f>
        <v>4.0624068732041205E-2</v>
      </c>
      <c r="O66" s="5">
        <f t="shared" si="2"/>
        <v>0.62759920322924156</v>
      </c>
      <c r="P66"/>
      <c r="Q66"/>
      <c r="R66"/>
    </row>
    <row r="67" spans="1:18" x14ac:dyDescent="0.2">
      <c r="A67" s="4">
        <f t="shared" si="3"/>
        <v>59</v>
      </c>
      <c r="G67"/>
      <c r="H67"/>
      <c r="I67"/>
      <c r="J67"/>
      <c r="K67" s="4">
        <f t="shared" si="7"/>
        <v>59</v>
      </c>
      <c r="L67" s="4">
        <f t="shared" si="6"/>
        <v>2</v>
      </c>
      <c r="M67" s="5">
        <f t="shared" si="4"/>
        <v>29.318681318681318</v>
      </c>
      <c r="N67" s="31">
        <f>IF(A67&gt;L$6,"",splint(G$9:G$21,H$9:$H79,I$9:I$21,M67))</f>
        <v>4.0555990369659789E-2</v>
      </c>
      <c r="O67" s="5">
        <f t="shared" si="2"/>
        <v>0.61630965266250681</v>
      </c>
      <c r="P67"/>
      <c r="Q67"/>
      <c r="R67"/>
    </row>
    <row r="68" spans="1:18" x14ac:dyDescent="0.2">
      <c r="A68" s="4">
        <f t="shared" si="3"/>
        <v>60</v>
      </c>
      <c r="G68"/>
      <c r="H68"/>
      <c r="I68"/>
      <c r="J68"/>
      <c r="K68" s="4">
        <f t="shared" si="7"/>
        <v>60</v>
      </c>
      <c r="L68" s="4">
        <f t="shared" si="6"/>
        <v>2</v>
      </c>
      <c r="M68" s="5">
        <f t="shared" si="4"/>
        <v>29.818681318681318</v>
      </c>
      <c r="N68" s="31">
        <f>IF(A68&gt;L$6,"",splint(G$9:G$21,H$9:$H80,I$9:I$21,M68))</f>
        <v>4.051389210284128E-2</v>
      </c>
      <c r="O68" s="5">
        <f t="shared" si="2"/>
        <v>0.60480419668968433</v>
      </c>
      <c r="P68"/>
      <c r="Q68"/>
      <c r="R68"/>
    </row>
    <row r="69" spans="1:18" x14ac:dyDescent="0.2">
      <c r="A69" s="4">
        <f t="shared" si="3"/>
        <v>61</v>
      </c>
      <c r="G69"/>
      <c r="H69"/>
      <c r="I69"/>
      <c r="J69"/>
      <c r="K69" s="4">
        <f t="shared" si="7"/>
        <v>61</v>
      </c>
      <c r="L69" s="4">
        <f t="shared" si="6"/>
        <v>2</v>
      </c>
      <c r="M69" s="5">
        <f t="shared" si="4"/>
        <v>30.318681318681318</v>
      </c>
      <c r="N69" s="31">
        <f>IF(A69&gt;L$6,"",splint(G$9:G$21,H$9:$H81,I$9:I$21,M69))</f>
        <v>4.0491540050608871E-2</v>
      </c>
      <c r="O69" s="5">
        <f t="shared" si="2"/>
        <v>0.59318984640579742</v>
      </c>
      <c r="P69"/>
      <c r="Q69"/>
      <c r="R69"/>
    </row>
    <row r="70" spans="1:18" x14ac:dyDescent="0.2">
      <c r="A70" s="4">
        <f t="shared" si="3"/>
        <v>62</v>
      </c>
      <c r="G70"/>
      <c r="H70"/>
      <c r="I70"/>
      <c r="J70"/>
      <c r="K70" s="4">
        <f t="shared" si="7"/>
        <v>62</v>
      </c>
      <c r="L70" s="4">
        <f t="shared" si="6"/>
        <v>2</v>
      </c>
      <c r="M70" s="5">
        <f t="shared" si="4"/>
        <v>30.818681318681318</v>
      </c>
      <c r="N70" s="31">
        <f>IF(A70&gt;L$6,"",splint(G$9:G$21,H$9:$H82,I$9:I$21,M70))</f>
        <v>4.0482700331985748E-2</v>
      </c>
      <c r="O70" s="5">
        <f t="shared" si="2"/>
        <v>0.58157385240461168</v>
      </c>
      <c r="P70"/>
      <c r="Q70"/>
      <c r="R70"/>
    </row>
    <row r="71" spans="1:18" x14ac:dyDescent="0.2">
      <c r="A71" s="4">
        <f t="shared" si="3"/>
        <v>63</v>
      </c>
      <c r="G71"/>
      <c r="H71"/>
      <c r="I71"/>
      <c r="J71"/>
      <c r="K71" s="4">
        <f t="shared" si="7"/>
        <v>63</v>
      </c>
      <c r="L71" s="4">
        <f t="shared" si="6"/>
        <v>102</v>
      </c>
      <c r="M71" s="5">
        <f t="shared" si="4"/>
        <v>31.318681318681318</v>
      </c>
      <c r="N71" s="31">
        <f>IF(A71&gt;L$6,"",splint(G$9:G$21,H$9:$H83,I$9:I$21,M71))</f>
        <v>4.0481139065995111E-2</v>
      </c>
      <c r="O71" s="5">
        <f t="shared" si="2"/>
        <v>29.073207061100387</v>
      </c>
      <c r="P71"/>
      <c r="Q71"/>
      <c r="R71"/>
    </row>
    <row r="72" spans="1:18" x14ac:dyDescent="0.2">
      <c r="A72" s="4">
        <f t="shared" si="3"/>
        <v>64</v>
      </c>
      <c r="G72"/>
      <c r="H72"/>
      <c r="I72"/>
      <c r="J72"/>
      <c r="K72" s="4" t="str">
        <f t="shared" si="7"/>
        <v/>
      </c>
      <c r="L72" s="4" t="str">
        <f t="shared" si="6"/>
        <v/>
      </c>
      <c r="M72" s="5" t="str">
        <f t="shared" si="4"/>
        <v/>
      </c>
      <c r="N72" s="31" t="str">
        <f>IF(A72&gt;L$6,"",splint(G$9:G$21,H$9:$H84,I$9:I$21,M72))</f>
        <v/>
      </c>
      <c r="O72" s="5" t="str">
        <f t="shared" si="2"/>
        <v/>
      </c>
      <c r="P72"/>
      <c r="Q72"/>
      <c r="R72"/>
    </row>
    <row r="73" spans="1:18" x14ac:dyDescent="0.2">
      <c r="A73" s="4">
        <f t="shared" si="3"/>
        <v>65</v>
      </c>
      <c r="G73"/>
      <c r="H73"/>
      <c r="I73"/>
      <c r="J73"/>
      <c r="K73" s="4" t="str">
        <f t="shared" si="7"/>
        <v/>
      </c>
      <c r="L73" s="4" t="str">
        <f t="shared" ref="L73:L88" si="8">IF($A73&gt;L$6,"",IF($A73&lt;L$6,M$5/$C$5,M$5/$C$5+$C$4))</f>
        <v/>
      </c>
      <c r="M73" s="5" t="str">
        <f t="shared" si="4"/>
        <v/>
      </c>
      <c r="N73" s="31" t="str">
        <f>IF(A73&gt;L$6,"",splint(G$9:G$21,H$9:$H85,I$9:I$21,M73))</f>
        <v/>
      </c>
      <c r="O73" s="5" t="str">
        <f t="shared" si="2"/>
        <v/>
      </c>
      <c r="P73"/>
      <c r="Q73"/>
      <c r="R73"/>
    </row>
    <row r="74" spans="1:18" x14ac:dyDescent="0.2">
      <c r="A74" s="4">
        <f t="shared" si="3"/>
        <v>66</v>
      </c>
      <c r="G74"/>
      <c r="H74"/>
      <c r="I74"/>
      <c r="J74"/>
      <c r="K74" s="4" t="str">
        <f t="shared" ref="K74:K88" si="9">IF($A74&gt;L$6,"",K73+1)</f>
        <v/>
      </c>
      <c r="L74" s="4" t="str">
        <f t="shared" si="8"/>
        <v/>
      </c>
      <c r="M74" s="5" t="str">
        <f t="shared" si="4"/>
        <v/>
      </c>
      <c r="N74" s="31" t="str">
        <f>IF(A74&gt;L$6,"",splint(G$9:G$21,H$9:$H86,I$9:I$21,M74))</f>
        <v/>
      </c>
      <c r="O74" s="5" t="str">
        <f t="shared" ref="O74:O88" si="10">IF(A74&gt;L$6,"",L74/(1+N74/$C$5)^($C$5*M74))</f>
        <v/>
      </c>
      <c r="P74"/>
      <c r="Q74"/>
      <c r="R74"/>
    </row>
    <row r="75" spans="1:18" x14ac:dyDescent="0.2">
      <c r="A75" s="4">
        <f t="shared" ref="A75:A88" si="11">A74+1</f>
        <v>67</v>
      </c>
      <c r="G75"/>
      <c r="H75"/>
      <c r="I75"/>
      <c r="J75"/>
      <c r="K75" s="4" t="str">
        <f t="shared" si="9"/>
        <v/>
      </c>
      <c r="L75" s="4" t="str">
        <f t="shared" si="8"/>
        <v/>
      </c>
      <c r="M75" s="5" t="str">
        <f t="shared" ref="M75:M88" si="12">IF($A75&lt;=L$6,M74+0.5,"")</f>
        <v/>
      </c>
      <c r="N75" s="31" t="str">
        <f>IF(A75&gt;L$6,"",splint(G$9:G$21,H$9:$H87,I$9:I$21,M75))</f>
        <v/>
      </c>
      <c r="O75" s="5" t="str">
        <f t="shared" si="10"/>
        <v/>
      </c>
      <c r="P75"/>
      <c r="Q75"/>
      <c r="R75"/>
    </row>
    <row r="76" spans="1:18" x14ac:dyDescent="0.2">
      <c r="A76" s="4">
        <f t="shared" si="11"/>
        <v>68</v>
      </c>
      <c r="G76"/>
      <c r="H76"/>
      <c r="I76"/>
      <c r="J76"/>
      <c r="K76" s="4" t="str">
        <f t="shared" si="9"/>
        <v/>
      </c>
      <c r="L76" s="4" t="str">
        <f t="shared" si="8"/>
        <v/>
      </c>
      <c r="M76" s="5" t="str">
        <f t="shared" si="12"/>
        <v/>
      </c>
      <c r="N76" s="31" t="str">
        <f>IF(A76&gt;L$6,"",splint(G$9:G$21,H$9:$H88,I$9:I$21,M76))</f>
        <v/>
      </c>
      <c r="O76" s="5" t="str">
        <f t="shared" si="10"/>
        <v/>
      </c>
      <c r="P76"/>
      <c r="Q76"/>
      <c r="R76"/>
    </row>
    <row r="77" spans="1:18" x14ac:dyDescent="0.2">
      <c r="A77" s="4">
        <f t="shared" si="11"/>
        <v>69</v>
      </c>
      <c r="G77"/>
      <c r="H77"/>
      <c r="I77"/>
      <c r="J77"/>
      <c r="K77" s="4" t="str">
        <f t="shared" si="9"/>
        <v/>
      </c>
      <c r="L77" s="4" t="str">
        <f t="shared" si="8"/>
        <v/>
      </c>
      <c r="M77" s="5" t="str">
        <f t="shared" si="12"/>
        <v/>
      </c>
      <c r="N77" s="31" t="str">
        <f>IF(A77&gt;L$6,"",splint(G$9:G$21,H$9:$H89,I$9:I$21,M77))</f>
        <v/>
      </c>
      <c r="O77" s="5" t="str">
        <f t="shared" si="10"/>
        <v/>
      </c>
      <c r="P77"/>
      <c r="Q77"/>
      <c r="R77"/>
    </row>
    <row r="78" spans="1:18" x14ac:dyDescent="0.2">
      <c r="A78" s="4">
        <f t="shared" si="11"/>
        <v>70</v>
      </c>
      <c r="G78"/>
      <c r="H78"/>
      <c r="I78"/>
      <c r="J78"/>
      <c r="K78" s="4" t="str">
        <f t="shared" si="9"/>
        <v/>
      </c>
      <c r="L78" s="4" t="str">
        <f t="shared" si="8"/>
        <v/>
      </c>
      <c r="M78" s="5" t="str">
        <f t="shared" si="12"/>
        <v/>
      </c>
      <c r="N78" s="31" t="str">
        <f>IF(A78&gt;L$6,"",splint(G$9:G$21,H$9:$H90,I$9:I$21,M78))</f>
        <v/>
      </c>
      <c r="O78" s="5" t="str">
        <f t="shared" si="10"/>
        <v/>
      </c>
      <c r="P78"/>
      <c r="Q78"/>
      <c r="R78"/>
    </row>
    <row r="79" spans="1:18" x14ac:dyDescent="0.2">
      <c r="A79" s="4">
        <f t="shared" si="11"/>
        <v>71</v>
      </c>
      <c r="G79"/>
      <c r="H79"/>
      <c r="I79"/>
      <c r="J79"/>
      <c r="K79" s="4" t="str">
        <f t="shared" si="9"/>
        <v/>
      </c>
      <c r="L79" s="4" t="str">
        <f t="shared" si="8"/>
        <v/>
      </c>
      <c r="M79" s="5" t="str">
        <f t="shared" si="12"/>
        <v/>
      </c>
      <c r="N79" s="31" t="str">
        <f>IF(A79&gt;L$6,"",splint(G$9:G$21,H$9:$H91,I$9:I$21,M79))</f>
        <v/>
      </c>
      <c r="O79" s="5" t="str">
        <f t="shared" si="10"/>
        <v/>
      </c>
      <c r="P79"/>
      <c r="Q79"/>
      <c r="R79"/>
    </row>
    <row r="80" spans="1:18" x14ac:dyDescent="0.2">
      <c r="A80" s="4">
        <f t="shared" si="11"/>
        <v>72</v>
      </c>
      <c r="G80"/>
      <c r="H80"/>
      <c r="I80"/>
      <c r="J80"/>
      <c r="K80" s="4" t="str">
        <f t="shared" si="9"/>
        <v/>
      </c>
      <c r="L80" s="4" t="str">
        <f t="shared" si="8"/>
        <v/>
      </c>
      <c r="M80" s="5" t="str">
        <f t="shared" si="12"/>
        <v/>
      </c>
      <c r="N80" s="31" t="str">
        <f>IF(A80&gt;L$6,"",splint(G$9:G$21,H$9:$H92,I$9:I$21,M80))</f>
        <v/>
      </c>
      <c r="O80" s="5" t="str">
        <f t="shared" si="10"/>
        <v/>
      </c>
      <c r="P80"/>
      <c r="Q80"/>
      <c r="R80"/>
    </row>
    <row r="81" spans="1:18" x14ac:dyDescent="0.2">
      <c r="A81" s="4">
        <f t="shared" si="11"/>
        <v>73</v>
      </c>
      <c r="G81"/>
      <c r="H81"/>
      <c r="I81"/>
      <c r="J81"/>
      <c r="K81" s="4" t="str">
        <f t="shared" si="9"/>
        <v/>
      </c>
      <c r="L81" s="4" t="str">
        <f t="shared" si="8"/>
        <v/>
      </c>
      <c r="M81" s="5" t="str">
        <f t="shared" si="12"/>
        <v/>
      </c>
      <c r="N81" s="31" t="str">
        <f>IF(A81&gt;L$6,"",splint(G$9:G$21,H$9:$H93,I$9:I$21,M81))</f>
        <v/>
      </c>
      <c r="O81" s="5" t="str">
        <f t="shared" si="10"/>
        <v/>
      </c>
      <c r="P81"/>
      <c r="Q81"/>
      <c r="R81"/>
    </row>
    <row r="82" spans="1:18" x14ac:dyDescent="0.2">
      <c r="A82" s="4">
        <f t="shared" si="11"/>
        <v>74</v>
      </c>
      <c r="G82"/>
      <c r="H82"/>
      <c r="I82"/>
      <c r="J82"/>
      <c r="K82" s="4" t="str">
        <f t="shared" si="9"/>
        <v/>
      </c>
      <c r="L82" s="4" t="str">
        <f t="shared" si="8"/>
        <v/>
      </c>
      <c r="M82" s="5" t="str">
        <f t="shared" si="12"/>
        <v/>
      </c>
      <c r="N82" s="31" t="str">
        <f>IF(A82&gt;L$6,"",splint(G$9:G$21,H$9:$H94,I$9:I$21,M82))</f>
        <v/>
      </c>
      <c r="O82" s="5" t="str">
        <f t="shared" si="10"/>
        <v/>
      </c>
      <c r="P82"/>
      <c r="Q82"/>
      <c r="R82"/>
    </row>
    <row r="83" spans="1:18" x14ac:dyDescent="0.2">
      <c r="A83" s="4">
        <f t="shared" si="11"/>
        <v>75</v>
      </c>
      <c r="G83"/>
      <c r="H83"/>
      <c r="I83"/>
      <c r="J83"/>
      <c r="K83" s="4" t="str">
        <f t="shared" si="9"/>
        <v/>
      </c>
      <c r="L83" s="4" t="str">
        <f t="shared" si="8"/>
        <v/>
      </c>
      <c r="M83" s="5" t="str">
        <f t="shared" si="12"/>
        <v/>
      </c>
      <c r="N83" s="31" t="str">
        <f>IF(A83&gt;L$6,"",splint(G$9:G$21,H$9:$H95,I$9:I$21,M83))</f>
        <v/>
      </c>
      <c r="O83" s="5" t="str">
        <f t="shared" si="10"/>
        <v/>
      </c>
      <c r="P83"/>
      <c r="Q83"/>
      <c r="R83"/>
    </row>
    <row r="84" spans="1:18" x14ac:dyDescent="0.2">
      <c r="A84" s="4">
        <f t="shared" si="11"/>
        <v>76</v>
      </c>
      <c r="G84"/>
      <c r="H84"/>
      <c r="I84"/>
      <c r="J84"/>
      <c r="K84" s="4" t="str">
        <f t="shared" si="9"/>
        <v/>
      </c>
      <c r="L84" s="4" t="str">
        <f t="shared" si="8"/>
        <v/>
      </c>
      <c r="M84" s="5" t="str">
        <f t="shared" si="12"/>
        <v/>
      </c>
      <c r="N84" s="31" t="str">
        <f>IF(A84&gt;L$6,"",splint(G$9:G$21,H$9:$H96,I$9:I$21,M84))</f>
        <v/>
      </c>
      <c r="O84" s="5" t="str">
        <f t="shared" si="10"/>
        <v/>
      </c>
      <c r="P84"/>
      <c r="Q84"/>
      <c r="R84"/>
    </row>
    <row r="85" spans="1:18" x14ac:dyDescent="0.2">
      <c r="A85" s="4">
        <f t="shared" si="11"/>
        <v>77</v>
      </c>
      <c r="G85"/>
      <c r="H85"/>
      <c r="I85"/>
      <c r="J85"/>
      <c r="K85" s="4" t="str">
        <f t="shared" si="9"/>
        <v/>
      </c>
      <c r="L85" s="4" t="str">
        <f t="shared" si="8"/>
        <v/>
      </c>
      <c r="M85" s="5" t="str">
        <f t="shared" si="12"/>
        <v/>
      </c>
      <c r="N85" s="31" t="str">
        <f>IF(A85&gt;L$6,"",splint(G$9:G$21,H$9:$H97,I$9:I$21,M85))</f>
        <v/>
      </c>
      <c r="O85" s="5" t="str">
        <f t="shared" si="10"/>
        <v/>
      </c>
      <c r="P85"/>
      <c r="Q85"/>
      <c r="R85"/>
    </row>
    <row r="86" spans="1:18" x14ac:dyDescent="0.2">
      <c r="A86" s="4">
        <f t="shared" si="11"/>
        <v>78</v>
      </c>
      <c r="J86"/>
      <c r="K86" s="4" t="str">
        <f t="shared" si="9"/>
        <v/>
      </c>
      <c r="L86" s="4" t="str">
        <f t="shared" si="8"/>
        <v/>
      </c>
      <c r="M86" s="5" t="str">
        <f t="shared" si="12"/>
        <v/>
      </c>
      <c r="N86" s="31" t="str">
        <f>IF(A86&gt;L$6,"",splint(G$9:G$21,H$9:$H98,I$9:I$21,M86))</f>
        <v/>
      </c>
      <c r="O86" s="5" t="str">
        <f t="shared" si="10"/>
        <v/>
      </c>
      <c r="P86"/>
      <c r="Q86"/>
      <c r="R86"/>
    </row>
    <row r="87" spans="1:18" x14ac:dyDescent="0.2">
      <c r="A87" s="4">
        <f t="shared" si="11"/>
        <v>79</v>
      </c>
      <c r="K87" s="4" t="str">
        <f t="shared" si="9"/>
        <v/>
      </c>
      <c r="L87" s="4" t="str">
        <f t="shared" si="8"/>
        <v/>
      </c>
      <c r="M87" s="5" t="str">
        <f t="shared" si="12"/>
        <v/>
      </c>
      <c r="N87" s="31" t="str">
        <f>IF(A87&gt;L$6,"",splint(G$9:G$21,H$9:$H99,I$9:I$21,M87))</f>
        <v/>
      </c>
      <c r="O87" s="5" t="str">
        <f t="shared" si="10"/>
        <v/>
      </c>
      <c r="P87"/>
      <c r="Q87"/>
    </row>
    <row r="88" spans="1:18" x14ac:dyDescent="0.2">
      <c r="A88" s="4">
        <f t="shared" si="11"/>
        <v>80</v>
      </c>
      <c r="K88" s="4" t="str">
        <f t="shared" si="9"/>
        <v/>
      </c>
      <c r="L88" s="4" t="str">
        <f t="shared" si="8"/>
        <v/>
      </c>
      <c r="M88" s="5" t="str">
        <f t="shared" si="12"/>
        <v/>
      </c>
      <c r="N88" s="31" t="str">
        <f>IF(A88&gt;L$6,"",splint(G$9:G$21,H$9:$H100,I$9:I$21,M88))</f>
        <v/>
      </c>
      <c r="O88" s="5" t="str">
        <f t="shared" si="10"/>
        <v/>
      </c>
    </row>
    <row r="89" spans="1:18" x14ac:dyDescent="0.2">
      <c r="K89" s="4" t="str">
        <f>IF($A88&gt;L$6,"",K88+1)</f>
        <v/>
      </c>
    </row>
  </sheetData>
  <phoneticPr fontId="14"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217C38-33F2-46B5-BFE1-533CCC015C45}">
  <sheetPr codeName="Sheet16"/>
  <dimension ref="A1:S83"/>
  <sheetViews>
    <sheetView tabSelected="1" zoomScale="70" zoomScaleNormal="70" workbookViewId="0">
      <selection activeCell="R45" sqref="R45"/>
    </sheetView>
  </sheetViews>
  <sheetFormatPr defaultColWidth="26.140625" defaultRowHeight="15" x14ac:dyDescent="0.2"/>
  <cols>
    <col min="1" max="1" width="16" style="76" customWidth="1"/>
    <col min="2" max="2" width="13.85546875" style="76" customWidth="1"/>
    <col min="3" max="3" width="15.85546875" style="76" bestFit="1" customWidth="1"/>
    <col min="4" max="4" width="16.5703125" style="76" bestFit="1" customWidth="1"/>
    <col min="5" max="5" width="14.42578125" style="76" bestFit="1" customWidth="1"/>
    <col min="6" max="6" width="13.7109375" style="76" bestFit="1" customWidth="1"/>
    <col min="7" max="7" width="9.140625" style="76" bestFit="1" customWidth="1"/>
    <col min="8" max="10" width="8.28515625" style="76" bestFit="1" customWidth="1"/>
    <col min="11" max="11" width="16.5703125" style="76" bestFit="1" customWidth="1"/>
    <col min="12" max="12" width="12.140625" style="76" customWidth="1"/>
    <col min="13" max="13" width="5.5703125" style="76" customWidth="1"/>
    <col min="14" max="15" width="9.140625" style="76" bestFit="1" customWidth="1"/>
    <col min="16" max="17" width="8.28515625" style="76" bestFit="1" customWidth="1"/>
    <col min="18" max="18" width="17.28515625" style="76" bestFit="1" customWidth="1"/>
    <col min="19" max="19" width="14.5703125" style="76" customWidth="1"/>
    <col min="20" max="16384" width="26.140625" style="76"/>
  </cols>
  <sheetData>
    <row r="1" spans="1:13" ht="15.75" x14ac:dyDescent="0.2">
      <c r="A1" s="116"/>
      <c r="B1" s="116"/>
      <c r="C1" s="116"/>
      <c r="D1" s="116"/>
      <c r="E1" s="116"/>
      <c r="F1" s="116"/>
      <c r="G1" s="116"/>
      <c r="H1" s="116"/>
      <c r="I1" s="116"/>
      <c r="J1" s="116"/>
      <c r="K1" s="116"/>
      <c r="L1" s="116"/>
      <c r="M1" s="116"/>
    </row>
    <row r="2" spans="1:13" x14ac:dyDescent="0.2">
      <c r="A2" s="117" t="s">
        <v>143</v>
      </c>
      <c r="B2" s="117"/>
      <c r="C2" s="117"/>
      <c r="D2" s="117"/>
      <c r="E2" s="117"/>
      <c r="F2" s="117"/>
      <c r="G2" s="117"/>
      <c r="H2" s="117"/>
      <c r="I2" s="117"/>
      <c r="J2" s="117"/>
      <c r="K2" s="117"/>
      <c r="L2" s="117"/>
      <c r="M2" s="117"/>
    </row>
    <row r="4" spans="1:13" ht="15.75" x14ac:dyDescent="0.2">
      <c r="A4" s="88" t="s">
        <v>121</v>
      </c>
      <c r="B4" s="88" t="s">
        <v>122</v>
      </c>
    </row>
    <row r="5" spans="1:13" ht="15.75" x14ac:dyDescent="0.25">
      <c r="A5" s="89">
        <v>0.5</v>
      </c>
      <c r="B5" s="90">
        <v>4.061E-2</v>
      </c>
      <c r="G5" s="78"/>
    </row>
    <row r="6" spans="1:13" ht="15.75" x14ac:dyDescent="0.25">
      <c r="A6" s="89">
        <f>A5+0.5</f>
        <v>1</v>
      </c>
      <c r="B6" s="90">
        <v>4.172E-2</v>
      </c>
      <c r="G6" s="78"/>
    </row>
    <row r="7" spans="1:13" ht="15.75" x14ac:dyDescent="0.25">
      <c r="A7" s="89">
        <f t="shared" ref="A7:A14" si="0">A6+0.5</f>
        <v>1.5</v>
      </c>
      <c r="B7" s="90">
        <v>3.95E-2</v>
      </c>
      <c r="G7" s="78"/>
    </row>
    <row r="8" spans="1:13" ht="15.75" x14ac:dyDescent="0.25">
      <c r="A8" s="89">
        <f t="shared" si="0"/>
        <v>2</v>
      </c>
      <c r="B8" s="90">
        <v>3.6339999999999997E-2</v>
      </c>
      <c r="G8" s="78"/>
    </row>
    <row r="9" spans="1:13" ht="15.75" x14ac:dyDescent="0.25">
      <c r="A9" s="89">
        <f t="shared" si="0"/>
        <v>2.5</v>
      </c>
      <c r="B9" s="90">
        <v>3.4270000000000002E-2</v>
      </c>
      <c r="G9" s="78"/>
    </row>
    <row r="10" spans="1:13" ht="15.75" x14ac:dyDescent="0.25">
      <c r="A10" s="89">
        <f t="shared" si="0"/>
        <v>3</v>
      </c>
      <c r="B10" s="90">
        <v>3.2669999999999998E-2</v>
      </c>
      <c r="G10" s="78"/>
    </row>
    <row r="11" spans="1:13" ht="15.75" x14ac:dyDescent="0.25">
      <c r="A11" s="89">
        <f t="shared" si="0"/>
        <v>3.5</v>
      </c>
      <c r="B11" s="90">
        <v>3.1620000000000002E-2</v>
      </c>
      <c r="G11" s="78"/>
    </row>
    <row r="12" spans="1:13" ht="15.75" x14ac:dyDescent="0.25">
      <c r="A12" s="89">
        <f t="shared" si="0"/>
        <v>4</v>
      </c>
      <c r="B12" s="90">
        <v>3.0589999999999999E-2</v>
      </c>
      <c r="G12" s="78"/>
    </row>
    <row r="13" spans="1:13" ht="15.75" x14ac:dyDescent="0.25">
      <c r="A13" s="89">
        <f t="shared" si="0"/>
        <v>4.5</v>
      </c>
      <c r="B13" s="90">
        <v>2.9850000000000002E-2</v>
      </c>
      <c r="G13" s="78"/>
    </row>
    <row r="14" spans="1:13" ht="15.75" x14ac:dyDescent="0.25">
      <c r="A14" s="89">
        <f t="shared" si="0"/>
        <v>5</v>
      </c>
      <c r="B14" s="90">
        <v>2.9149999999999999E-2</v>
      </c>
      <c r="G14" s="78"/>
    </row>
    <row r="15" spans="1:13" ht="15.75" x14ac:dyDescent="0.25">
      <c r="G15" s="78"/>
    </row>
    <row r="16" spans="1:13" x14ac:dyDescent="0.2">
      <c r="A16" s="117" t="s">
        <v>144</v>
      </c>
      <c r="B16" s="117"/>
      <c r="C16" s="117"/>
      <c r="D16" s="117"/>
      <c r="E16" s="117"/>
      <c r="F16" s="117"/>
      <c r="G16" s="117"/>
      <c r="H16" s="117"/>
      <c r="I16" s="117"/>
      <c r="J16" s="117"/>
      <c r="K16" s="117"/>
      <c r="L16" s="117"/>
      <c r="M16" s="117"/>
    </row>
    <row r="17" spans="1:19" x14ac:dyDescent="0.2">
      <c r="A17" s="74"/>
      <c r="B17" s="74"/>
      <c r="C17" s="74"/>
      <c r="D17" s="74"/>
      <c r="E17" s="74"/>
      <c r="F17" s="74"/>
      <c r="G17" s="74"/>
      <c r="H17" s="74"/>
      <c r="I17" s="74"/>
      <c r="J17" s="74"/>
      <c r="K17" s="74"/>
      <c r="L17" s="74"/>
      <c r="M17" s="74"/>
    </row>
    <row r="18" spans="1:19" ht="15.75" x14ac:dyDescent="0.2">
      <c r="A18" s="103" t="s">
        <v>145</v>
      </c>
      <c r="B18" s="103"/>
      <c r="C18" s="103"/>
      <c r="D18" s="103"/>
      <c r="E18" s="103"/>
      <c r="F18" s="103"/>
      <c r="G18" s="103"/>
      <c r="H18" s="103"/>
      <c r="I18" s="103"/>
      <c r="J18" s="103"/>
      <c r="K18" s="103"/>
      <c r="L18" s="103"/>
      <c r="M18" s="103"/>
      <c r="N18" s="103"/>
      <c r="O18" s="103"/>
      <c r="P18" s="103"/>
      <c r="Q18" s="103"/>
      <c r="R18" s="103"/>
      <c r="S18" s="103"/>
    </row>
    <row r="19" spans="1:19" ht="15.75" x14ac:dyDescent="0.2">
      <c r="A19" s="103" t="s">
        <v>146</v>
      </c>
      <c r="B19" s="103"/>
      <c r="C19" s="103"/>
      <c r="D19" s="103"/>
      <c r="E19" s="103"/>
      <c r="F19" s="103"/>
      <c r="G19" s="103"/>
      <c r="H19" s="103"/>
      <c r="I19" s="103"/>
      <c r="J19" s="103"/>
      <c r="K19" s="103"/>
      <c r="L19" s="103"/>
      <c r="M19" s="103"/>
      <c r="N19" s="103"/>
      <c r="O19" s="103"/>
      <c r="P19" s="103"/>
      <c r="Q19" s="103"/>
      <c r="R19" s="103"/>
      <c r="S19" s="103"/>
    </row>
    <row r="20" spans="1:19" ht="15.75" x14ac:dyDescent="0.25">
      <c r="A20" s="118" t="s">
        <v>123</v>
      </c>
      <c r="B20" s="118"/>
      <c r="C20" s="104">
        <v>100000</v>
      </c>
      <c r="G20" s="78"/>
    </row>
    <row r="21" spans="1:19" ht="15.75" x14ac:dyDescent="0.25">
      <c r="A21" s="118" t="s">
        <v>119</v>
      </c>
      <c r="B21" s="118"/>
      <c r="C21" s="75">
        <v>5</v>
      </c>
      <c r="G21" s="78" t="s">
        <v>184</v>
      </c>
      <c r="N21" s="78" t="s">
        <v>185</v>
      </c>
    </row>
    <row r="22" spans="1:19" x14ac:dyDescent="0.2">
      <c r="A22" s="118" t="s">
        <v>127</v>
      </c>
      <c r="B22" s="118"/>
      <c r="C22" s="75">
        <v>2</v>
      </c>
      <c r="G22" s="118" t="s">
        <v>124</v>
      </c>
      <c r="H22" s="118"/>
      <c r="I22" s="97">
        <v>4.2500000000000003E-2</v>
      </c>
      <c r="N22" s="118" t="s">
        <v>125</v>
      </c>
      <c r="O22" s="118"/>
      <c r="P22" s="97">
        <v>2.5000000000000001E-2</v>
      </c>
    </row>
    <row r="23" spans="1:19" x14ac:dyDescent="0.2">
      <c r="G23" s="118" t="s">
        <v>126</v>
      </c>
      <c r="H23" s="118"/>
      <c r="I23" s="105">
        <v>0.17</v>
      </c>
      <c r="N23" s="118" t="s">
        <v>126</v>
      </c>
      <c r="O23" s="118"/>
      <c r="P23" s="105">
        <v>0.17</v>
      </c>
    </row>
    <row r="24" spans="1:19" ht="15.75" x14ac:dyDescent="0.25">
      <c r="G24" s="78"/>
    </row>
    <row r="27" spans="1:19" ht="15.75" x14ac:dyDescent="0.2">
      <c r="A27" s="80" t="s">
        <v>84</v>
      </c>
      <c r="B27" s="80" t="s">
        <v>121</v>
      </c>
      <c r="C27" s="80" t="s">
        <v>122</v>
      </c>
      <c r="D27" s="80" t="s">
        <v>128</v>
      </c>
      <c r="E27" s="80" t="s">
        <v>129</v>
      </c>
      <c r="F27" s="80" t="s">
        <v>130</v>
      </c>
      <c r="G27" s="119" t="s">
        <v>131</v>
      </c>
      <c r="H27" s="119"/>
      <c r="I27" s="119"/>
      <c r="J27" s="119"/>
      <c r="K27" s="119"/>
      <c r="L27" s="119"/>
      <c r="M27" s="81"/>
      <c r="N27" s="120" t="s">
        <v>132</v>
      </c>
      <c r="O27" s="120"/>
      <c r="P27" s="120"/>
      <c r="Q27" s="120"/>
      <c r="R27" s="120"/>
      <c r="S27" s="120"/>
    </row>
    <row r="28" spans="1:19" ht="15.75" x14ac:dyDescent="0.2">
      <c r="A28" s="81">
        <v>1</v>
      </c>
      <c r="B28" s="81" cm="1">
        <f t="array" ref="B28:B37">A5:A14</f>
        <v>0.5</v>
      </c>
      <c r="C28" s="82" cm="1">
        <f t="array" ref="C28:C37">B5:B14</f>
        <v>4.061E-2</v>
      </c>
      <c r="D28" s="81"/>
      <c r="E28" s="81"/>
      <c r="F28" s="81"/>
      <c r="G28" s="91" t="s">
        <v>133</v>
      </c>
      <c r="H28" s="91" t="s">
        <v>134</v>
      </c>
      <c r="I28" s="91" t="s">
        <v>135</v>
      </c>
      <c r="J28" s="91" t="s">
        <v>136</v>
      </c>
      <c r="K28" s="91" t="s">
        <v>137</v>
      </c>
      <c r="L28" s="91" t="s">
        <v>186</v>
      </c>
      <c r="M28" s="81"/>
      <c r="N28" s="92" t="s">
        <v>133</v>
      </c>
      <c r="O28" s="92" t="s">
        <v>134</v>
      </c>
      <c r="P28" s="92" t="s">
        <v>138</v>
      </c>
      <c r="Q28" s="92" t="s">
        <v>139</v>
      </c>
      <c r="R28" s="92" t="s">
        <v>140</v>
      </c>
      <c r="S28" s="92" t="s">
        <v>187</v>
      </c>
    </row>
    <row r="29" spans="1:19" x14ac:dyDescent="0.2">
      <c r="A29" s="81">
        <f>A28+1</f>
        <v>2</v>
      </c>
      <c r="B29" s="81">
        <v>1</v>
      </c>
      <c r="C29" s="82">
        <v>4.172E-2</v>
      </c>
      <c r="D29" s="83">
        <f>((1+C29/$C$22)^A29/(1+C28/$C$22)^A28-1)*2</f>
        <v>4.2830603790043664E-2</v>
      </c>
      <c r="E29" s="81" cm="1">
        <f t="array" ref="E29:E37">B28:B36</f>
        <v>0.5</v>
      </c>
      <c r="F29" s="81">
        <v>1</v>
      </c>
      <c r="G29" s="84">
        <f>(LN(D29/$I$22)+$I$23^2/2*E29)/($I$23*SQRT(E29))</f>
        <v>0.12456570216932887</v>
      </c>
      <c r="H29" s="84">
        <f t="shared" ref="H29:H37" si="1">G29-$I$23*SQRT(E29)</f>
        <v>4.3575493676157734E-3</v>
      </c>
      <c r="I29" s="84">
        <f>_xlfn.NORM.S.DIST(G29,TRUE)</f>
        <v>0.5495663087203968</v>
      </c>
      <c r="J29" s="84">
        <f>_xlfn.NORM.S.DIST(H29,TRUE)</f>
        <v>0.50173840518013524</v>
      </c>
      <c r="K29" s="85">
        <f t="shared" ref="K29:K37" si="2">(D29*$C$20*I29/$C$22-$I$22*$C$20*J29/$C$22)</f>
        <v>110.71873025021932</v>
      </c>
      <c r="L29" s="85">
        <f>K29/(1+C29/$C$22)^A29</f>
        <v>106.24016141465788</v>
      </c>
      <c r="M29" s="84"/>
      <c r="N29" s="84">
        <f>(LN(D29/$P$22)+$P$23^2/2*E29)/($P$23*SQRT(E29))</f>
        <v>4.5388108152895468</v>
      </c>
      <c r="O29" s="84">
        <f>N29-$P$23*SQRT(E29)</f>
        <v>4.4186026624878334</v>
      </c>
      <c r="P29" s="84">
        <f>_xlfn.NORM.S.DIST(-N29,TRUE)</f>
        <v>2.8286181117796422E-6</v>
      </c>
      <c r="Q29" s="84">
        <f>_xlfn.NORM.S.DIST(-O29,TRUE)</f>
        <v>4.9670544767263298E-6</v>
      </c>
      <c r="R29" s="85">
        <f>($P$22*$C$20/$C$22*Q29-D29*$C$20/$C$22*P29)</f>
        <v>1.5124701495914782E-4</v>
      </c>
      <c r="S29" s="85">
        <f>R29/(1+C29/$C$22)^A29</f>
        <v>1.4512907839920976E-4</v>
      </c>
    </row>
    <row r="30" spans="1:19" x14ac:dyDescent="0.2">
      <c r="A30" s="81">
        <f t="shared" ref="A30:A37" si="3">A29+1</f>
        <v>3</v>
      </c>
      <c r="B30" s="81">
        <v>1.5</v>
      </c>
      <c r="C30" s="82">
        <v>3.95E-2</v>
      </c>
      <c r="D30" s="83">
        <f t="shared" ref="D30:D37" si="4">((1+C30/$C$22)^A30/(1+C29/$C$22)^A29-1)*2</f>
        <v>3.506723891682384E-2</v>
      </c>
      <c r="E30" s="81">
        <v>1</v>
      </c>
      <c r="F30" s="81">
        <v>1.5</v>
      </c>
      <c r="G30" s="84">
        <f t="shared" ref="G30:G37" si="5">(LN(D30/$I$22)+$I$23^2/2*E30)/($I$23*SQRT(E30))</f>
        <v>-1.0458043853364212</v>
      </c>
      <c r="H30" s="84">
        <f t="shared" si="1"/>
        <v>-1.2158043853364211</v>
      </c>
      <c r="I30" s="84">
        <f t="shared" ref="I30:J37" si="6">_xlfn.NORM.S.DIST(G30,TRUE)</f>
        <v>0.14782567803542901</v>
      </c>
      <c r="J30" s="84">
        <f t="shared" si="6"/>
        <v>0.11202972393959644</v>
      </c>
      <c r="K30" s="85">
        <f t="shared" si="2"/>
        <v>21.128755113850929</v>
      </c>
      <c r="L30" s="85">
        <f t="shared" ref="L30:L37" si="7">K30/(1+C30/$C$22)^A30</f>
        <v>19.924744802078269</v>
      </c>
      <c r="M30" s="84"/>
      <c r="N30" s="84">
        <f t="shared" ref="N30:N37" si="8">(LN(D30/$P$22)+$P$23^2/2*E30)/($P$23*SQRT(E30))</f>
        <v>2.0755382679704635</v>
      </c>
      <c r="O30" s="84">
        <f t="shared" ref="O30:O37" si="9">N30-$P$23*SQRT(E30)</f>
        <v>1.9055382679704636</v>
      </c>
      <c r="P30" s="84">
        <f t="shared" ref="P30:P37" si="10">_xlfn.NORM.S.DIST(-N30,TRUE)</f>
        <v>1.8968338005429193E-2</v>
      </c>
      <c r="Q30" s="84">
        <f t="shared" ref="Q30:Q37" si="11">_xlfn.NORM.S.DIST(-O30,TRUE)</f>
        <v>2.8355068970585616E-2</v>
      </c>
      <c r="R30" s="85">
        <f t="shared" ref="R30:R37" si="12">($P$22*$C$20/$C$22*Q30-D30*$C$20/$C$22*P30)</f>
        <v>2.1854741786592555</v>
      </c>
      <c r="S30" s="85">
        <f t="shared" ref="S30:S37" si="13">R30/(1+C30/$C$22)^A30</f>
        <v>2.0609361529667876</v>
      </c>
    </row>
    <row r="31" spans="1:19" x14ac:dyDescent="0.2">
      <c r="A31" s="81">
        <f t="shared" si="3"/>
        <v>4</v>
      </c>
      <c r="B31" s="81">
        <v>2</v>
      </c>
      <c r="C31" s="82">
        <v>3.6339999999999997E-2</v>
      </c>
      <c r="D31" s="83">
        <f t="shared" si="4"/>
        <v>2.6889346279599824E-2</v>
      </c>
      <c r="E31" s="81">
        <v>1.5</v>
      </c>
      <c r="F31" s="81">
        <v>2</v>
      </c>
      <c r="G31" s="84">
        <f t="shared" si="5"/>
        <v>-2.0945486738788452</v>
      </c>
      <c r="H31" s="84">
        <f t="shared" si="1"/>
        <v>-2.3027553020154152</v>
      </c>
      <c r="I31" s="84">
        <f t="shared" si="6"/>
        <v>1.8105565954300101E-2</v>
      </c>
      <c r="J31" s="84">
        <f t="shared" si="6"/>
        <v>1.0646307361772842E-2</v>
      </c>
      <c r="K31" s="85">
        <f t="shared" si="2"/>
        <v>1.7189384828981424</v>
      </c>
      <c r="L31" s="85">
        <f t="shared" si="7"/>
        <v>1.5994812309694009</v>
      </c>
      <c r="M31" s="84"/>
      <c r="N31" s="84">
        <f t="shared" si="8"/>
        <v>0.45401693045010311</v>
      </c>
      <c r="O31" s="84">
        <f t="shared" si="9"/>
        <v>0.24581030231353299</v>
      </c>
      <c r="P31" s="84">
        <f t="shared" si="10"/>
        <v>0.32490832056269325</v>
      </c>
      <c r="Q31" s="84">
        <f t="shared" si="11"/>
        <v>0.40291454081010525</v>
      </c>
      <c r="R31" s="85">
        <f t="shared" si="12"/>
        <v>66.814558975957425</v>
      </c>
      <c r="S31" s="85">
        <f t="shared" si="13"/>
        <v>62.171295890333873</v>
      </c>
    </row>
    <row r="32" spans="1:19" x14ac:dyDescent="0.2">
      <c r="A32" s="81">
        <f t="shared" si="3"/>
        <v>5</v>
      </c>
      <c r="B32" s="81">
        <v>2.5</v>
      </c>
      <c r="C32" s="82">
        <v>3.4270000000000002E-2</v>
      </c>
      <c r="D32" s="83">
        <f t="shared" si="4"/>
        <v>2.6011020784767247E-2</v>
      </c>
      <c r="E32" s="81">
        <v>2</v>
      </c>
      <c r="F32" s="81">
        <v>2.5</v>
      </c>
      <c r="G32" s="84">
        <f t="shared" si="5"/>
        <v>-1.9220150239896985</v>
      </c>
      <c r="H32" s="84">
        <f t="shared" si="1"/>
        <v>-2.1624313295931246</v>
      </c>
      <c r="I32" s="84">
        <f t="shared" si="6"/>
        <v>2.7301933664657815E-2</v>
      </c>
      <c r="J32" s="84">
        <f t="shared" si="6"/>
        <v>1.5292472434573991E-2</v>
      </c>
      <c r="K32" s="85">
        <f t="shared" si="2"/>
        <v>3.0110542773178182</v>
      </c>
      <c r="L32" s="85">
        <f t="shared" si="7"/>
        <v>2.7658306826643573</v>
      </c>
      <c r="M32" s="84"/>
      <c r="N32" s="84">
        <f t="shared" si="8"/>
        <v>0.28510753257041027</v>
      </c>
      <c r="O32" s="84">
        <f t="shared" si="9"/>
        <v>4.4691226966984077E-2</v>
      </c>
      <c r="P32" s="84">
        <f t="shared" si="10"/>
        <v>0.38778087964788888</v>
      </c>
      <c r="Q32" s="84">
        <f t="shared" si="11"/>
        <v>0.48217671328947809</v>
      </c>
      <c r="R32" s="85">
        <f t="shared" si="12"/>
        <v>98.39206558901941</v>
      </c>
      <c r="S32" s="85">
        <f t="shared" si="13"/>
        <v>90.37890681241602</v>
      </c>
    </row>
    <row r="33" spans="1:19" x14ac:dyDescent="0.2">
      <c r="A33" s="81">
        <f t="shared" si="3"/>
        <v>6</v>
      </c>
      <c r="B33" s="81">
        <v>3</v>
      </c>
      <c r="C33" s="82">
        <v>3.2669999999999998E-2</v>
      </c>
      <c r="D33" s="83">
        <f t="shared" si="4"/>
        <v>2.4688856766198253E-2</v>
      </c>
      <c r="E33" s="81">
        <v>2.5</v>
      </c>
      <c r="F33" s="81">
        <v>3</v>
      </c>
      <c r="G33" s="84">
        <f t="shared" si="5"/>
        <v>-1.8863063520078369</v>
      </c>
      <c r="H33" s="84">
        <f t="shared" si="1"/>
        <v>-2.1550999531221491</v>
      </c>
      <c r="I33" s="84">
        <f t="shared" si="6"/>
        <v>2.9626841902027762E-2</v>
      </c>
      <c r="J33" s="84">
        <f t="shared" si="6"/>
        <v>1.5577006697996458E-2</v>
      </c>
      <c r="K33" s="85">
        <f t="shared" si="2"/>
        <v>3.4715035744557312</v>
      </c>
      <c r="L33" s="85">
        <f t="shared" si="7"/>
        <v>3.1498968036552415</v>
      </c>
      <c r="M33" s="84"/>
      <c r="N33" s="84">
        <f t="shared" si="8"/>
        <v>8.7804076448774179E-2</v>
      </c>
      <c r="O33" s="84">
        <f t="shared" si="9"/>
        <v>-0.18098952466553808</v>
      </c>
      <c r="P33" s="84">
        <f t="shared" si="10"/>
        <v>0.46501619887199208</v>
      </c>
      <c r="Q33" s="84">
        <f t="shared" si="11"/>
        <v>0.57181210083255496</v>
      </c>
      <c r="R33" s="85">
        <f t="shared" si="12"/>
        <v>140.729209645065</v>
      </c>
      <c r="S33" s="85">
        <f t="shared" si="13"/>
        <v>127.69178488068164</v>
      </c>
    </row>
    <row r="34" spans="1:19" x14ac:dyDescent="0.2">
      <c r="A34" s="81">
        <f t="shared" si="3"/>
        <v>7</v>
      </c>
      <c r="B34" s="81">
        <v>3.5</v>
      </c>
      <c r="C34" s="82">
        <v>3.1620000000000002E-2</v>
      </c>
      <c r="D34" s="83">
        <f t="shared" si="4"/>
        <v>2.5331380390059888E-2</v>
      </c>
      <c r="E34" s="81">
        <v>3</v>
      </c>
      <c r="F34" s="81">
        <v>3.5</v>
      </c>
      <c r="G34" s="84">
        <f t="shared" si="5"/>
        <v>-1.6101623750703082</v>
      </c>
      <c r="H34" s="84">
        <f t="shared" si="1"/>
        <v>-1.9046110123570175</v>
      </c>
      <c r="I34" s="84">
        <f t="shared" si="6"/>
        <v>5.3681206451948689E-2</v>
      </c>
      <c r="J34" s="84">
        <f t="shared" si="6"/>
        <v>2.8415327018507019E-2</v>
      </c>
      <c r="K34" s="85">
        <f t="shared" si="2"/>
        <v>7.608383107255051</v>
      </c>
      <c r="L34" s="85">
        <f t="shared" si="7"/>
        <v>6.8171835221022432</v>
      </c>
      <c r="M34" s="84"/>
      <c r="N34" s="84">
        <f t="shared" si="8"/>
        <v>0.1919456460494825</v>
      </c>
      <c r="O34" s="84">
        <f t="shared" si="9"/>
        <v>-0.10250299123722667</v>
      </c>
      <c r="P34" s="84">
        <f t="shared" si="10"/>
        <v>0.42389239089235597</v>
      </c>
      <c r="Q34" s="84">
        <f t="shared" si="11"/>
        <v>0.54082128065338919</v>
      </c>
      <c r="R34" s="85">
        <f t="shared" si="12"/>
        <v>139.13763090942518</v>
      </c>
      <c r="S34" s="85">
        <f t="shared" si="13"/>
        <v>124.66863870663923</v>
      </c>
    </row>
    <row r="35" spans="1:19" x14ac:dyDescent="0.2">
      <c r="A35" s="81">
        <f t="shared" si="3"/>
        <v>8</v>
      </c>
      <c r="B35" s="81">
        <v>4</v>
      </c>
      <c r="C35" s="82">
        <v>3.0589999999999999E-2</v>
      </c>
      <c r="D35" s="83">
        <f t="shared" si="4"/>
        <v>2.3394606618817537E-2</v>
      </c>
      <c r="E35" s="81">
        <v>3.5</v>
      </c>
      <c r="F35" s="81">
        <v>4</v>
      </c>
      <c r="G35" s="84">
        <f t="shared" si="5"/>
        <v>-1.7180922470020157</v>
      </c>
      <c r="H35" s="84">
        <f t="shared" si="1"/>
        <v>-2.036133124877801</v>
      </c>
      <c r="I35" s="84">
        <f t="shared" si="6"/>
        <v>4.2889895379196352E-2</v>
      </c>
      <c r="J35" s="84">
        <f t="shared" si="6"/>
        <v>2.086849464466186E-2</v>
      </c>
      <c r="K35" s="85">
        <f t="shared" si="2"/>
        <v>5.8240603960204851</v>
      </c>
      <c r="L35" s="85">
        <f t="shared" si="7"/>
        <v>5.1580778260203299</v>
      </c>
      <c r="M35" s="84"/>
      <c r="N35" s="84">
        <f t="shared" si="8"/>
        <v>-4.9664419087975649E-2</v>
      </c>
      <c r="O35" s="84">
        <f t="shared" si="9"/>
        <v>-0.3677052969637607</v>
      </c>
      <c r="P35" s="84">
        <f t="shared" si="10"/>
        <v>0.51980509454702883</v>
      </c>
      <c r="Q35" s="84">
        <f t="shared" si="11"/>
        <v>0.64345350477199226</v>
      </c>
      <c r="R35" s="85">
        <f t="shared" si="12"/>
        <v>196.28509569574044</v>
      </c>
      <c r="S35" s="85">
        <f t="shared" si="13"/>
        <v>173.83985241263562</v>
      </c>
    </row>
    <row r="36" spans="1:19" x14ac:dyDescent="0.2">
      <c r="A36" s="81">
        <f t="shared" si="3"/>
        <v>9</v>
      </c>
      <c r="B36" s="81">
        <v>4.5</v>
      </c>
      <c r="C36" s="82">
        <v>2.9850000000000002E-2</v>
      </c>
      <c r="D36" s="83">
        <f t="shared" si="4"/>
        <v>2.3939700060644498E-2</v>
      </c>
      <c r="E36" s="81">
        <v>4</v>
      </c>
      <c r="F36" s="81">
        <v>4.5</v>
      </c>
      <c r="G36" s="84">
        <f t="shared" si="5"/>
        <v>-1.5181350137475411</v>
      </c>
      <c r="H36" s="84">
        <f t="shared" si="1"/>
        <v>-1.8581350137475412</v>
      </c>
      <c r="I36" s="84">
        <f t="shared" si="6"/>
        <v>6.4490183000343398E-2</v>
      </c>
      <c r="J36" s="84">
        <f t="shared" si="6"/>
        <v>3.1574921854243217E-2</v>
      </c>
      <c r="K36" s="85">
        <f t="shared" si="2"/>
        <v>10.097072953947958</v>
      </c>
      <c r="L36" s="85">
        <f t="shared" si="7"/>
        <v>8.8366965384540013</v>
      </c>
      <c r="M36" s="84"/>
      <c r="N36" s="84">
        <f t="shared" si="8"/>
        <v>4.253631290590168E-2</v>
      </c>
      <c r="O36" s="84">
        <f t="shared" si="9"/>
        <v>-0.29746368709409832</v>
      </c>
      <c r="P36" s="84">
        <f t="shared" si="10"/>
        <v>0.4830355822110326</v>
      </c>
      <c r="Q36" s="84">
        <f t="shared" si="11"/>
        <v>0.61694373628130006</v>
      </c>
      <c r="R36" s="85">
        <f t="shared" si="12"/>
        <v>192.99332251407964</v>
      </c>
      <c r="S36" s="85">
        <f t="shared" si="13"/>
        <v>168.90275357850942</v>
      </c>
    </row>
    <row r="37" spans="1:19" x14ac:dyDescent="0.2">
      <c r="A37" s="81">
        <f t="shared" si="3"/>
        <v>10</v>
      </c>
      <c r="B37" s="81">
        <v>5</v>
      </c>
      <c r="C37" s="82">
        <v>2.9149999999999999E-2</v>
      </c>
      <c r="D37" s="83">
        <f t="shared" si="4"/>
        <v>2.2860852888079375E-2</v>
      </c>
      <c r="E37" s="81">
        <v>4.5</v>
      </c>
      <c r="F37" s="81">
        <v>5</v>
      </c>
      <c r="G37" s="84">
        <f t="shared" si="5"/>
        <v>-1.539144381733214</v>
      </c>
      <c r="H37" s="84">
        <f t="shared" si="1"/>
        <v>-1.8997688401383532</v>
      </c>
      <c r="I37" s="84">
        <f t="shared" si="6"/>
        <v>6.1884526079065215E-2</v>
      </c>
      <c r="J37" s="84">
        <f t="shared" si="6"/>
        <v>2.8731730889884149E-2</v>
      </c>
      <c r="K37" s="85">
        <f t="shared" si="2"/>
        <v>9.6817241960972567</v>
      </c>
      <c r="L37" s="85">
        <f t="shared" si="7"/>
        <v>8.3774364006381603</v>
      </c>
      <c r="M37" s="84"/>
      <c r="N37" s="84">
        <f t="shared" si="8"/>
        <v>-6.7729344026474514E-2</v>
      </c>
      <c r="O37" s="84">
        <f t="shared" si="9"/>
        <v>-0.42835380243161375</v>
      </c>
      <c r="P37" s="84">
        <f t="shared" si="10"/>
        <v>0.52699945510812196</v>
      </c>
      <c r="Q37" s="84">
        <f t="shared" si="11"/>
        <v>0.66580322326547547</v>
      </c>
      <c r="R37" s="85">
        <f t="shared" si="12"/>
        <v>229.87117831560602</v>
      </c>
      <c r="S37" s="85">
        <f t="shared" si="13"/>
        <v>198.90374252294993</v>
      </c>
    </row>
    <row r="38" spans="1:19" ht="15.75" x14ac:dyDescent="0.2">
      <c r="A38" s="81"/>
      <c r="B38" s="81"/>
      <c r="C38" s="81"/>
      <c r="D38" s="81"/>
      <c r="E38" s="81"/>
      <c r="F38" s="81"/>
      <c r="G38" s="81"/>
      <c r="H38" s="81"/>
      <c r="I38" s="81"/>
      <c r="J38" s="81"/>
      <c r="K38" s="85" t="s">
        <v>141</v>
      </c>
      <c r="L38" s="86">
        <f>SUM(L29:L37)</f>
        <v>162.86950922123987</v>
      </c>
      <c r="M38" s="81"/>
      <c r="N38" s="81"/>
      <c r="O38" s="81"/>
      <c r="P38" s="81"/>
      <c r="Q38" s="81"/>
      <c r="R38" s="85" t="s">
        <v>141</v>
      </c>
      <c r="S38" s="86">
        <f>SUM(S29:S37)</f>
        <v>948.6180560862108</v>
      </c>
    </row>
    <row r="39" spans="1:19" ht="15.75" x14ac:dyDescent="0.2">
      <c r="A39" s="87"/>
      <c r="B39" s="85"/>
      <c r="C39" s="81"/>
      <c r="D39" s="81"/>
      <c r="E39" s="81"/>
      <c r="F39" s="81"/>
      <c r="G39" s="81"/>
      <c r="H39" s="81"/>
      <c r="I39" s="81"/>
      <c r="J39" s="81"/>
      <c r="K39" s="121"/>
      <c r="L39" s="121"/>
      <c r="M39" s="81"/>
      <c r="N39" s="81"/>
      <c r="O39" s="81"/>
      <c r="P39" s="81"/>
      <c r="Q39" s="81"/>
      <c r="R39" s="121"/>
      <c r="S39" s="121"/>
    </row>
    <row r="40" spans="1:19" x14ac:dyDescent="0.2">
      <c r="C40" s="81"/>
      <c r="D40" s="81"/>
      <c r="E40" s="81"/>
      <c r="F40" s="81"/>
      <c r="G40" s="81"/>
      <c r="H40" s="81"/>
      <c r="I40" s="81"/>
      <c r="J40" s="81"/>
      <c r="K40" s="81"/>
      <c r="L40" s="81"/>
      <c r="M40" s="81"/>
      <c r="N40" s="81"/>
      <c r="O40" s="81"/>
      <c r="P40" s="81"/>
      <c r="Q40" s="81"/>
      <c r="R40" s="85"/>
      <c r="S40" s="81"/>
    </row>
    <row r="41" spans="1:19" x14ac:dyDescent="0.2">
      <c r="A41" s="81"/>
      <c r="B41" s="81"/>
      <c r="C41" s="81"/>
      <c r="D41" s="81"/>
      <c r="E41" s="81"/>
      <c r="F41" s="81"/>
      <c r="G41" s="81"/>
      <c r="H41" s="81"/>
      <c r="I41" s="81"/>
      <c r="J41" s="81"/>
      <c r="K41" s="81"/>
      <c r="L41" s="81"/>
      <c r="M41" s="81"/>
      <c r="N41" s="81"/>
      <c r="O41" s="81"/>
      <c r="P41" s="81"/>
      <c r="Q41" s="81"/>
    </row>
    <row r="42" spans="1:19" ht="15.75" x14ac:dyDescent="0.2">
      <c r="A42" s="81"/>
      <c r="B42" s="81"/>
      <c r="C42" s="81"/>
      <c r="D42" s="81"/>
      <c r="E42" s="81"/>
      <c r="F42" s="81"/>
      <c r="G42" s="81"/>
      <c r="H42" s="81"/>
      <c r="I42" s="81"/>
      <c r="J42" s="87"/>
      <c r="K42" s="85"/>
    </row>
    <row r="43" spans="1:19" ht="15.75" x14ac:dyDescent="0.2">
      <c r="A43" s="81"/>
      <c r="B43" s="81"/>
      <c r="C43" s="81"/>
      <c r="D43" s="81"/>
      <c r="E43" s="81"/>
      <c r="F43" s="81"/>
      <c r="G43" s="81"/>
      <c r="H43" s="81"/>
      <c r="I43" s="81"/>
      <c r="J43" s="87"/>
      <c r="K43" s="85"/>
    </row>
    <row r="44" spans="1:19" ht="15.75" x14ac:dyDescent="0.2">
      <c r="A44" s="81"/>
      <c r="B44" s="81"/>
      <c r="C44" s="81"/>
      <c r="D44" s="81"/>
      <c r="E44" s="81"/>
      <c r="F44" s="81"/>
      <c r="G44" s="81"/>
      <c r="H44" s="81"/>
      <c r="I44" s="81"/>
      <c r="J44" s="87"/>
      <c r="K44" s="85"/>
    </row>
    <row r="45" spans="1:19" ht="15.75" x14ac:dyDescent="0.2">
      <c r="A45" s="81"/>
      <c r="B45" s="81"/>
      <c r="C45" s="81"/>
      <c r="D45" s="81"/>
      <c r="E45" s="81"/>
      <c r="F45" s="81"/>
      <c r="G45" s="81"/>
      <c r="H45" s="81"/>
      <c r="I45" s="81"/>
      <c r="J45" s="87"/>
      <c r="K45" s="85"/>
    </row>
    <row r="46" spans="1:19" ht="15.75" x14ac:dyDescent="0.2">
      <c r="A46" s="81"/>
      <c r="B46" s="81"/>
      <c r="C46" s="81"/>
      <c r="D46" s="81"/>
      <c r="E46" s="81"/>
      <c r="F46" s="81"/>
      <c r="G46" s="81"/>
      <c r="H46" s="81"/>
      <c r="I46" s="81"/>
      <c r="J46" s="87"/>
      <c r="K46" s="85"/>
    </row>
    <row r="47" spans="1:19" ht="15.75" x14ac:dyDescent="0.2">
      <c r="A47" s="81"/>
      <c r="B47" s="81"/>
      <c r="C47" s="81"/>
      <c r="D47" s="81"/>
      <c r="E47" s="81"/>
      <c r="F47" s="81"/>
      <c r="G47" s="81"/>
      <c r="H47" s="81"/>
      <c r="I47" s="81"/>
      <c r="J47" s="87"/>
      <c r="K47" s="85"/>
    </row>
    <row r="49" spans="1:19" ht="15.75" x14ac:dyDescent="0.2">
      <c r="A49" s="81"/>
      <c r="B49" s="81"/>
      <c r="C49" s="81"/>
      <c r="D49" s="81"/>
      <c r="E49" s="81"/>
      <c r="F49" s="81"/>
      <c r="G49" s="81"/>
      <c r="H49" s="81"/>
      <c r="I49" s="81"/>
      <c r="J49" s="87"/>
      <c r="K49" s="85"/>
    </row>
    <row r="50" spans="1:19" x14ac:dyDescent="0.2">
      <c r="A50" s="81"/>
      <c r="B50" s="81"/>
      <c r="C50" s="81"/>
      <c r="D50" s="81"/>
      <c r="E50" s="81"/>
      <c r="F50" s="81"/>
      <c r="G50" s="81"/>
      <c r="H50" s="81"/>
      <c r="I50" s="81"/>
      <c r="J50" s="85"/>
      <c r="K50" s="81"/>
    </row>
    <row r="51" spans="1:19" x14ac:dyDescent="0.2">
      <c r="A51" s="81"/>
      <c r="B51" s="81"/>
      <c r="D51" s="81"/>
      <c r="E51" s="81"/>
      <c r="F51" s="81"/>
      <c r="G51" s="81"/>
      <c r="H51" s="81"/>
      <c r="I51" s="81"/>
    </row>
    <row r="53" spans="1:19" ht="15.75" x14ac:dyDescent="0.2">
      <c r="R53" s="87"/>
      <c r="S53" s="85"/>
    </row>
    <row r="54" spans="1:19" x14ac:dyDescent="0.2">
      <c r="A54" s="117" t="s">
        <v>147</v>
      </c>
      <c r="B54" s="117"/>
      <c r="C54" s="117"/>
      <c r="D54" s="117"/>
      <c r="E54" s="117"/>
      <c r="F54" s="117"/>
      <c r="G54" s="117"/>
      <c r="H54" s="117"/>
      <c r="I54" s="117"/>
      <c r="J54" s="117"/>
      <c r="K54" s="117"/>
      <c r="L54" s="117"/>
      <c r="M54" s="117"/>
      <c r="N54" s="117"/>
      <c r="O54" s="117"/>
      <c r="P54" s="117"/>
      <c r="Q54" s="117"/>
      <c r="R54" s="117"/>
      <c r="S54" s="117"/>
    </row>
    <row r="55" spans="1:19" ht="15.75" x14ac:dyDescent="0.25">
      <c r="A55" s="78"/>
    </row>
    <row r="56" spans="1:19" ht="15.75" x14ac:dyDescent="0.25">
      <c r="A56" s="118" t="s">
        <v>123</v>
      </c>
      <c r="B56" s="118"/>
      <c r="C56" s="104">
        <f>C20</f>
        <v>100000</v>
      </c>
      <c r="G56" s="78"/>
    </row>
    <row r="57" spans="1:19" x14ac:dyDescent="0.2">
      <c r="A57" s="118" t="s">
        <v>119</v>
      </c>
      <c r="B57" s="118"/>
      <c r="C57" s="75">
        <f>C21</f>
        <v>5</v>
      </c>
    </row>
    <row r="58" spans="1:19" ht="15.75" x14ac:dyDescent="0.25">
      <c r="A58" s="118" t="s">
        <v>127</v>
      </c>
      <c r="B58" s="118"/>
      <c r="C58" s="75">
        <f>C22</f>
        <v>2</v>
      </c>
      <c r="N58" s="78"/>
    </row>
    <row r="59" spans="1:19" x14ac:dyDescent="0.2">
      <c r="A59" s="118" t="s">
        <v>124</v>
      </c>
      <c r="B59" s="118"/>
      <c r="C59" s="106">
        <v>3.2196948480471999E-2</v>
      </c>
    </row>
    <row r="60" spans="1:19" x14ac:dyDescent="0.2">
      <c r="A60" s="118" t="s">
        <v>125</v>
      </c>
      <c r="B60" s="118"/>
      <c r="C60" s="97">
        <f>P22</f>
        <v>2.5000000000000001E-2</v>
      </c>
    </row>
    <row r="61" spans="1:19" x14ac:dyDescent="0.2">
      <c r="A61" s="118" t="s">
        <v>126</v>
      </c>
      <c r="B61" s="118"/>
      <c r="C61" s="105">
        <f>P23</f>
        <v>0.17</v>
      </c>
    </row>
    <row r="62" spans="1:19" x14ac:dyDescent="0.2">
      <c r="C62" s="79"/>
    </row>
    <row r="63" spans="1:19" ht="15.75" x14ac:dyDescent="0.2">
      <c r="A63" s="80" t="str" cm="1">
        <f t="array" ref="A63:F73">A27:F37</f>
        <v>Period</v>
      </c>
      <c r="B63" s="80" t="str">
        <v>Term(Year)</v>
      </c>
      <c r="C63" s="80" t="str">
        <v>Spot Rate</v>
      </c>
      <c r="D63" s="80" t="str">
        <v>Forward Rate</v>
      </c>
      <c r="E63" s="80" t="str">
        <v>Maturity(yr)</v>
      </c>
      <c r="F63" s="80" t="str">
        <v>Settlement</v>
      </c>
      <c r="G63" s="119" t="s">
        <v>131</v>
      </c>
      <c r="H63" s="119"/>
      <c r="I63" s="119"/>
      <c r="J63" s="119"/>
      <c r="K63" s="119"/>
      <c r="L63" s="119"/>
      <c r="M63" s="81"/>
      <c r="N63" s="120" t="s">
        <v>132</v>
      </c>
      <c r="O63" s="120"/>
      <c r="P63" s="120"/>
      <c r="Q63" s="120"/>
      <c r="R63" s="120"/>
      <c r="S63" s="120"/>
    </row>
    <row r="64" spans="1:19" ht="15.75" x14ac:dyDescent="0.2">
      <c r="A64" s="81">
        <v>1</v>
      </c>
      <c r="B64" s="81">
        <v>0.5</v>
      </c>
      <c r="C64" s="82">
        <v>4.061E-2</v>
      </c>
      <c r="D64" s="81">
        <v>0</v>
      </c>
      <c r="E64" s="81">
        <v>0</v>
      </c>
      <c r="F64" s="81">
        <v>0</v>
      </c>
      <c r="G64" s="91" t="s">
        <v>133</v>
      </c>
      <c r="H64" s="91" t="s">
        <v>134</v>
      </c>
      <c r="I64" s="91" t="s">
        <v>135</v>
      </c>
      <c r="J64" s="91" t="s">
        <v>136</v>
      </c>
      <c r="K64" s="91" t="s">
        <v>137</v>
      </c>
      <c r="L64" s="91" t="s">
        <v>186</v>
      </c>
      <c r="M64" s="81"/>
      <c r="N64" s="92" t="s">
        <v>133</v>
      </c>
      <c r="O64" s="92" t="s">
        <v>134</v>
      </c>
      <c r="P64" s="92" t="s">
        <v>138</v>
      </c>
      <c r="Q64" s="92" t="s">
        <v>139</v>
      </c>
      <c r="R64" s="92" t="s">
        <v>140</v>
      </c>
      <c r="S64" s="92" t="s">
        <v>188</v>
      </c>
    </row>
    <row r="65" spans="1:19" x14ac:dyDescent="0.2">
      <c r="A65" s="81">
        <v>2</v>
      </c>
      <c r="B65" s="81">
        <v>1</v>
      </c>
      <c r="C65" s="82">
        <v>4.172E-2</v>
      </c>
      <c r="D65" s="83">
        <v>4.2830603790043664E-2</v>
      </c>
      <c r="E65" s="81">
        <v>0.5</v>
      </c>
      <c r="F65" s="81">
        <v>1</v>
      </c>
      <c r="G65" s="84">
        <f>(LN(D65/$C$59)+$C$61^2/2*E65)/($C$61*SQRT(E65))</f>
        <v>2.4341627560057475</v>
      </c>
      <c r="H65" s="84">
        <f>G65-$I$23*SQRT(E65)</f>
        <v>2.3139546032040346</v>
      </c>
      <c r="I65" s="84">
        <f>_xlfn.NORM.S.DIST(G65,TRUE)</f>
        <v>0.99253685908605294</v>
      </c>
      <c r="J65" s="84">
        <f>_xlfn.NORM.S.DIST(H65,TRUE)</f>
        <v>0.98966489377812128</v>
      </c>
      <c r="K65" s="85">
        <f>(D65*$C$56*I65/$C$58-$C$59*$C$56*J65/$C$58)</f>
        <v>532.3381680311586</v>
      </c>
      <c r="L65" s="85">
        <f>K65/(1+C65/$C$58)^A65</f>
        <v>510.80510741949666</v>
      </c>
      <c r="M65" s="84"/>
      <c r="N65" s="84">
        <f>(LN(D65/$C$60)+$C$61^2/2*E65)/($C$61*SQRT(E65))</f>
        <v>4.5388108152895468</v>
      </c>
      <c r="O65" s="84">
        <f>N65-$C$61*SQRT(E65)</f>
        <v>4.4186026624878334</v>
      </c>
      <c r="P65" s="84">
        <f>_xlfn.NORM.S.DIST(-N65,TRUE)</f>
        <v>2.8286181117796422E-6</v>
      </c>
      <c r="Q65" s="84">
        <f>_xlfn.NORM.S.DIST(-O65,TRUE)</f>
        <v>4.9670544767263298E-6</v>
      </c>
      <c r="R65" s="85">
        <f>($C$60*$C$56/$C$58*Q65-D65*$C$56/$C$58*P65)</f>
        <v>1.5124701495914782E-4</v>
      </c>
      <c r="S65" s="85">
        <f>R65/(1+C65/$C$58)^A65</f>
        <v>1.4512907839920976E-4</v>
      </c>
    </row>
    <row r="66" spans="1:19" x14ac:dyDescent="0.2">
      <c r="A66" s="81">
        <v>3</v>
      </c>
      <c r="B66" s="81">
        <v>1.5</v>
      </c>
      <c r="C66" s="82">
        <v>3.95E-2</v>
      </c>
      <c r="D66" s="83">
        <v>3.506723891682384E-2</v>
      </c>
      <c r="E66" s="81">
        <v>1</v>
      </c>
      <c r="F66" s="81">
        <v>1.5</v>
      </c>
      <c r="G66" s="84">
        <f t="shared" ref="G66:G73" si="14">(LN(D66/$C$59)+$C$61^2/2*E66)/($C$61*SQRT(E66))</f>
        <v>0.58732735323978202</v>
      </c>
      <c r="H66" s="84">
        <f t="shared" ref="H66:H73" si="15">G66-$I$23*SQRT(E66)</f>
        <v>0.41732735323978198</v>
      </c>
      <c r="I66" s="84">
        <f t="shared" ref="I66:I72" si="16">_xlfn.NORM.S.DIST(G66,TRUE)</f>
        <v>0.7215080631111126</v>
      </c>
      <c r="J66" s="84">
        <f t="shared" ref="J66:J73" si="17">_xlfn.NORM.S.DIST(H66,TRUE)</f>
        <v>0.66178050810315259</v>
      </c>
      <c r="K66" s="85">
        <f t="shared" ref="K66:K73" si="18">(D66*$C$56*I66/$C$58-$C$59*$C$56*J66/$C$58)</f>
        <v>199.69913523772061</v>
      </c>
      <c r="L66" s="85">
        <f>K66/(1+C66/$C$58)^A66</f>
        <v>188.31939152907785</v>
      </c>
      <c r="M66" s="84"/>
      <c r="N66" s="84">
        <f t="shared" ref="N66:N73" si="19">(LN(D66/$C$60)+$C$61^2/2*E66)/($C$61*SQRT(E66))</f>
        <v>2.0755382679704635</v>
      </c>
      <c r="O66" s="84">
        <f t="shared" ref="O66:O73" si="20">N66-$C$61*SQRT(E66)</f>
        <v>1.9055382679704636</v>
      </c>
      <c r="P66" s="84">
        <f t="shared" ref="P66:P73" si="21">_xlfn.NORM.S.DIST(-N66,TRUE)</f>
        <v>1.8968338005429193E-2</v>
      </c>
      <c r="Q66" s="84">
        <f t="shared" ref="Q66:Q73" si="22">_xlfn.NORM.S.DIST(-O66,TRUE)</f>
        <v>2.8355068970585616E-2</v>
      </c>
      <c r="R66" s="85">
        <f t="shared" ref="R66:R73" si="23">($C$60*$C$56/$C$58*Q66-D66*$C$56/$C$58*P66)</f>
        <v>2.1854741786592555</v>
      </c>
      <c r="S66" s="85">
        <f t="shared" ref="S66:S73" si="24">R66/(1+C66/$C$58)^A66</f>
        <v>2.0609361529667876</v>
      </c>
    </row>
    <row r="67" spans="1:19" x14ac:dyDescent="0.2">
      <c r="A67" s="81">
        <v>4</v>
      </c>
      <c r="B67" s="81">
        <v>2</v>
      </c>
      <c r="C67" s="82">
        <v>3.6339999999999997E-2</v>
      </c>
      <c r="D67" s="83">
        <v>2.6889346279599824E-2</v>
      </c>
      <c r="E67" s="81">
        <v>1.5</v>
      </c>
      <c r="F67" s="81">
        <v>2</v>
      </c>
      <c r="G67" s="84">
        <f t="shared" si="14"/>
        <v>-0.76110219312682226</v>
      </c>
      <c r="H67" s="84">
        <f t="shared" si="15"/>
        <v>-0.96930882126339235</v>
      </c>
      <c r="I67" s="84">
        <f t="shared" si="16"/>
        <v>0.22329801532434265</v>
      </c>
      <c r="J67" s="84">
        <f t="shared" si="17"/>
        <v>0.16619556466225932</v>
      </c>
      <c r="K67" s="85">
        <f t="shared" si="18"/>
        <v>32.667381224496069</v>
      </c>
      <c r="L67" s="85">
        <f>K67/(1+C67/$C$58)^A67</f>
        <v>30.397168748824765</v>
      </c>
      <c r="M67" s="84"/>
      <c r="N67" s="84">
        <f t="shared" si="19"/>
        <v>0.45401693045010311</v>
      </c>
      <c r="O67" s="84">
        <f t="shared" si="20"/>
        <v>0.24581030231353299</v>
      </c>
      <c r="P67" s="84">
        <f t="shared" si="21"/>
        <v>0.32490832056269325</v>
      </c>
      <c r="Q67" s="84">
        <f t="shared" si="22"/>
        <v>0.40291454081010525</v>
      </c>
      <c r="R67" s="85">
        <f t="shared" si="23"/>
        <v>66.814558975957425</v>
      </c>
      <c r="S67" s="85">
        <f t="shared" si="24"/>
        <v>62.171295890333873</v>
      </c>
    </row>
    <row r="68" spans="1:19" x14ac:dyDescent="0.2">
      <c r="A68" s="81">
        <v>5</v>
      </c>
      <c r="B68" s="81">
        <v>2.5</v>
      </c>
      <c r="C68" s="82">
        <v>3.4270000000000002E-2</v>
      </c>
      <c r="D68" s="83">
        <v>2.6011020784767247E-2</v>
      </c>
      <c r="E68" s="81">
        <v>2</v>
      </c>
      <c r="F68" s="81">
        <v>2.5</v>
      </c>
      <c r="G68" s="84">
        <f t="shared" si="14"/>
        <v>-0.7672164970714892</v>
      </c>
      <c r="H68" s="84">
        <f t="shared" si="15"/>
        <v>-1.0076328026749155</v>
      </c>
      <c r="I68" s="84">
        <f t="shared" si="16"/>
        <v>0.22147640299987836</v>
      </c>
      <c r="J68" s="84">
        <f t="shared" si="17"/>
        <v>0.15681538763784728</v>
      </c>
      <c r="K68" s="85">
        <f t="shared" si="18"/>
        <v>35.592518252215456</v>
      </c>
      <c r="L68" s="85">
        <f>K68/(1+C68/$C$58)^A68</f>
        <v>32.693824152170201</v>
      </c>
      <c r="M68" s="84"/>
      <c r="N68" s="84">
        <f t="shared" si="19"/>
        <v>0.28510753257041027</v>
      </c>
      <c r="O68" s="84">
        <f t="shared" si="20"/>
        <v>4.4691226966984077E-2</v>
      </c>
      <c r="P68" s="84">
        <f t="shared" si="21"/>
        <v>0.38778087964788888</v>
      </c>
      <c r="Q68" s="84">
        <f t="shared" si="22"/>
        <v>0.48217671328947809</v>
      </c>
      <c r="R68" s="85">
        <f t="shared" si="23"/>
        <v>98.39206558901941</v>
      </c>
      <c r="S68" s="85">
        <f t="shared" si="24"/>
        <v>90.37890681241602</v>
      </c>
    </row>
    <row r="69" spans="1:19" x14ac:dyDescent="0.2">
      <c r="A69" s="81">
        <v>6</v>
      </c>
      <c r="B69" s="81">
        <v>3</v>
      </c>
      <c r="C69" s="82">
        <v>3.2669999999999998E-2</v>
      </c>
      <c r="D69" s="83">
        <v>2.4688856766198253E-2</v>
      </c>
      <c r="E69" s="81">
        <v>2.5</v>
      </c>
      <c r="F69" s="81">
        <v>3</v>
      </c>
      <c r="G69" s="84">
        <f t="shared" si="14"/>
        <v>-0.8534231494055422</v>
      </c>
      <c r="H69" s="84">
        <f t="shared" si="15"/>
        <v>-1.1222167505198546</v>
      </c>
      <c r="I69" s="84">
        <f t="shared" si="16"/>
        <v>0.19671234423836362</v>
      </c>
      <c r="J69" s="84">
        <f t="shared" si="17"/>
        <v>0.13088514613217897</v>
      </c>
      <c r="K69" s="85">
        <f t="shared" si="18"/>
        <v>32.125029208361383</v>
      </c>
      <c r="L69" s="85">
        <f t="shared" ref="L69:L73" si="25">K69/(1+C69/$C$58)^A69</f>
        <v>29.148904689407853</v>
      </c>
      <c r="M69" s="84"/>
      <c r="N69" s="84">
        <f t="shared" si="19"/>
        <v>8.7804076448774179E-2</v>
      </c>
      <c r="O69" s="84">
        <f t="shared" si="20"/>
        <v>-0.18098952466553808</v>
      </c>
      <c r="P69" s="84">
        <f t="shared" si="21"/>
        <v>0.46501619887199208</v>
      </c>
      <c r="Q69" s="84">
        <f t="shared" si="22"/>
        <v>0.57181210083255496</v>
      </c>
      <c r="R69" s="85">
        <f t="shared" si="23"/>
        <v>140.729209645065</v>
      </c>
      <c r="S69" s="85">
        <f t="shared" si="24"/>
        <v>127.69178488068164</v>
      </c>
    </row>
    <row r="70" spans="1:19" x14ac:dyDescent="0.2">
      <c r="A70" s="81">
        <v>7</v>
      </c>
      <c r="B70" s="81">
        <v>3.5</v>
      </c>
      <c r="C70" s="82">
        <v>3.1620000000000002E-2</v>
      </c>
      <c r="D70" s="83">
        <v>2.5331380390059888E-2</v>
      </c>
      <c r="E70" s="81">
        <v>3</v>
      </c>
      <c r="F70" s="81">
        <v>3.5</v>
      </c>
      <c r="G70" s="84">
        <f t="shared" si="14"/>
        <v>-0.66727332618121571</v>
      </c>
      <c r="H70" s="84">
        <f t="shared" si="15"/>
        <v>-0.96172196346792482</v>
      </c>
      <c r="I70" s="84">
        <f t="shared" si="16"/>
        <v>0.25229878057100052</v>
      </c>
      <c r="J70" s="84">
        <f t="shared" si="17"/>
        <v>0.16809464328049523</v>
      </c>
      <c r="K70" s="85">
        <f t="shared" si="18"/>
        <v>48.947090652342183</v>
      </c>
      <c r="L70" s="85">
        <f t="shared" si="25"/>
        <v>43.857058082657097</v>
      </c>
      <c r="M70" s="84"/>
      <c r="N70" s="84">
        <f t="shared" si="19"/>
        <v>0.1919456460494825</v>
      </c>
      <c r="O70" s="84">
        <f t="shared" si="20"/>
        <v>-0.10250299123722667</v>
      </c>
      <c r="P70" s="84">
        <f t="shared" si="21"/>
        <v>0.42389239089235597</v>
      </c>
      <c r="Q70" s="84">
        <f t="shared" si="22"/>
        <v>0.54082128065338919</v>
      </c>
      <c r="R70" s="85">
        <f t="shared" si="23"/>
        <v>139.13763090942518</v>
      </c>
      <c r="S70" s="85">
        <f t="shared" si="24"/>
        <v>124.66863870663923</v>
      </c>
    </row>
    <row r="71" spans="1:19" x14ac:dyDescent="0.2">
      <c r="A71" s="81">
        <v>8</v>
      </c>
      <c r="B71" s="81">
        <v>4</v>
      </c>
      <c r="C71" s="82">
        <v>3.0589999999999999E-2</v>
      </c>
      <c r="D71" s="83">
        <v>2.3394606618817537E-2</v>
      </c>
      <c r="E71" s="81">
        <v>3.5</v>
      </c>
      <c r="F71" s="81">
        <v>4</v>
      </c>
      <c r="G71" s="84">
        <f t="shared" si="14"/>
        <v>-0.84514661368506983</v>
      </c>
      <c r="H71" s="84">
        <f t="shared" si="15"/>
        <v>-1.1631874915608549</v>
      </c>
      <c r="I71" s="84">
        <f t="shared" si="16"/>
        <v>0.19901449259684792</v>
      </c>
      <c r="J71" s="84">
        <f t="shared" si="17"/>
        <v>0.12237672020528992</v>
      </c>
      <c r="K71" s="85">
        <f t="shared" si="18"/>
        <v>35.785440504398821</v>
      </c>
      <c r="L71" s="85">
        <f t="shared" si="25"/>
        <v>31.693367617930878</v>
      </c>
      <c r="M71" s="84"/>
      <c r="N71" s="84">
        <f t="shared" si="19"/>
        <v>-4.9664419087975649E-2</v>
      </c>
      <c r="O71" s="84">
        <f t="shared" si="20"/>
        <v>-0.3677052969637607</v>
      </c>
      <c r="P71" s="84">
        <f t="shared" si="21"/>
        <v>0.51980509454702883</v>
      </c>
      <c r="Q71" s="84">
        <f t="shared" si="22"/>
        <v>0.64345350477199226</v>
      </c>
      <c r="R71" s="85">
        <f t="shared" si="23"/>
        <v>196.28509569574044</v>
      </c>
      <c r="S71" s="85">
        <f t="shared" si="24"/>
        <v>173.83985241263562</v>
      </c>
    </row>
    <row r="72" spans="1:19" x14ac:dyDescent="0.2">
      <c r="A72" s="81">
        <v>9</v>
      </c>
      <c r="B72" s="81">
        <v>4.5</v>
      </c>
      <c r="C72" s="82">
        <v>2.9850000000000002E-2</v>
      </c>
      <c r="D72" s="83">
        <v>2.3939700060644498E-2</v>
      </c>
      <c r="E72" s="81">
        <v>4</v>
      </c>
      <c r="F72" s="81">
        <v>4.5</v>
      </c>
      <c r="G72" s="84">
        <f t="shared" si="14"/>
        <v>-0.70156914445943885</v>
      </c>
      <c r="H72" s="84">
        <f t="shared" si="15"/>
        <v>-1.0415691444594388</v>
      </c>
      <c r="I72" s="84">
        <f t="shared" si="16"/>
        <v>0.24147394988863796</v>
      </c>
      <c r="J72" s="84">
        <f t="shared" si="17"/>
        <v>0.14880574018252898</v>
      </c>
      <c r="K72" s="85">
        <f t="shared" si="18"/>
        <v>49.486159126885269</v>
      </c>
      <c r="L72" s="85">
        <f t="shared" si="25"/>
        <v>43.30900381253052</v>
      </c>
      <c r="M72" s="84"/>
      <c r="N72" s="84">
        <f t="shared" si="19"/>
        <v>4.253631290590168E-2</v>
      </c>
      <c r="O72" s="84">
        <f t="shared" si="20"/>
        <v>-0.29746368709409832</v>
      </c>
      <c r="P72" s="84">
        <f t="shared" si="21"/>
        <v>0.4830355822110326</v>
      </c>
      <c r="Q72" s="84">
        <f t="shared" si="22"/>
        <v>0.61694373628130006</v>
      </c>
      <c r="R72" s="85">
        <f t="shared" si="23"/>
        <v>192.99332251407964</v>
      </c>
      <c r="S72" s="85">
        <f t="shared" si="24"/>
        <v>168.90275357850942</v>
      </c>
    </row>
    <row r="73" spans="1:19" x14ac:dyDescent="0.2">
      <c r="A73" s="81">
        <v>10</v>
      </c>
      <c r="B73" s="81">
        <v>5</v>
      </c>
      <c r="C73" s="82">
        <v>2.9149999999999999E-2</v>
      </c>
      <c r="D73" s="83">
        <v>2.2860852888079375E-2</v>
      </c>
      <c r="E73" s="81">
        <v>4.5</v>
      </c>
      <c r="F73" s="81">
        <v>5</v>
      </c>
      <c r="G73" s="84">
        <f t="shared" si="14"/>
        <v>-0.76927869712107444</v>
      </c>
      <c r="H73" s="84">
        <f t="shared" si="15"/>
        <v>-1.1299031555262138</v>
      </c>
      <c r="I73" s="84">
        <f>_xlfn.NORM.S.DIST(G73,TRUE)</f>
        <v>0.22086394039573912</v>
      </c>
      <c r="J73" s="84">
        <f t="shared" si="17"/>
        <v>0.12925851708785244</v>
      </c>
      <c r="K73" s="85">
        <f t="shared" si="18"/>
        <v>44.370411716436479</v>
      </c>
      <c r="L73" s="85">
        <f t="shared" si="25"/>
        <v>38.392986073122685</v>
      </c>
      <c r="M73" s="84"/>
      <c r="N73" s="84">
        <f t="shared" si="19"/>
        <v>-6.7729344026474514E-2</v>
      </c>
      <c r="O73" s="84">
        <f t="shared" si="20"/>
        <v>-0.42835380243161375</v>
      </c>
      <c r="P73" s="84">
        <f t="shared" si="21"/>
        <v>0.52699945510812196</v>
      </c>
      <c r="Q73" s="84">
        <f t="shared" si="22"/>
        <v>0.66580322326547547</v>
      </c>
      <c r="R73" s="85">
        <f t="shared" si="23"/>
        <v>229.87117831560602</v>
      </c>
      <c r="S73" s="85">
        <f t="shared" si="24"/>
        <v>198.90374252294993</v>
      </c>
    </row>
    <row r="74" spans="1:19" ht="15.75" x14ac:dyDescent="0.2">
      <c r="A74" s="81"/>
      <c r="B74" s="81"/>
      <c r="C74" s="81"/>
      <c r="D74" s="81"/>
      <c r="E74" s="81"/>
      <c r="F74" s="81"/>
      <c r="G74" s="81"/>
      <c r="H74" s="81"/>
      <c r="I74" s="81"/>
      <c r="J74" s="81"/>
      <c r="K74" s="85"/>
      <c r="L74" s="86">
        <f>SUM(L65:L73)</f>
        <v>948.61681212521842</v>
      </c>
      <c r="M74" s="81"/>
      <c r="N74" s="81"/>
      <c r="O74" s="81"/>
      <c r="P74" s="81"/>
      <c r="Q74" s="81"/>
      <c r="R74" s="85"/>
      <c r="S74" s="86">
        <f>SUM(S65:S73)</f>
        <v>948.6180560862108</v>
      </c>
    </row>
    <row r="75" spans="1:19" x14ac:dyDescent="0.2">
      <c r="A75" s="81"/>
      <c r="B75" s="81"/>
      <c r="C75" s="81"/>
      <c r="D75" s="81"/>
      <c r="E75" s="81"/>
      <c r="F75" s="81"/>
      <c r="G75" s="81"/>
      <c r="H75" s="81"/>
      <c r="I75" s="81"/>
      <c r="J75" s="81"/>
      <c r="K75" s="81"/>
      <c r="L75" s="81"/>
      <c r="M75" s="81"/>
      <c r="N75" s="81"/>
      <c r="O75" s="81"/>
      <c r="P75" s="81"/>
      <c r="Q75" s="81"/>
      <c r="R75" s="85"/>
      <c r="S75" s="81"/>
    </row>
    <row r="76" spans="1:19" ht="15.75" x14ac:dyDescent="0.2">
      <c r="A76" s="87" t="s">
        <v>34</v>
      </c>
      <c r="B76" s="111">
        <f>L74-S74</f>
        <v>-1.2439609923831085E-3</v>
      </c>
      <c r="C76" s="81"/>
      <c r="D76" s="81"/>
      <c r="E76" s="81"/>
      <c r="F76" s="81"/>
      <c r="G76" s="81"/>
      <c r="H76" s="81"/>
      <c r="I76" s="81"/>
      <c r="J76" s="81"/>
      <c r="L76" s="81"/>
      <c r="M76" s="81"/>
      <c r="N76" s="81"/>
      <c r="O76" s="81"/>
      <c r="P76" s="81"/>
      <c r="Q76" s="81"/>
    </row>
    <row r="77" spans="1:19" x14ac:dyDescent="0.2">
      <c r="A77" s="94" t="s">
        <v>142</v>
      </c>
    </row>
    <row r="78" spans="1:19" x14ac:dyDescent="0.2">
      <c r="A78" s="81"/>
    </row>
    <row r="82" spans="1:1" x14ac:dyDescent="0.2">
      <c r="A82" s="81"/>
    </row>
    <row r="83" spans="1:1" x14ac:dyDescent="0.2">
      <c r="A83" s="81"/>
    </row>
  </sheetData>
  <mergeCells count="23">
    <mergeCell ref="A59:B59"/>
    <mergeCell ref="A61:B61"/>
    <mergeCell ref="N23:O23"/>
    <mergeCell ref="G27:L27"/>
    <mergeCell ref="N27:S27"/>
    <mergeCell ref="K39:L39"/>
    <mergeCell ref="R39:S39"/>
    <mergeCell ref="A1:M1"/>
    <mergeCell ref="A2:M2"/>
    <mergeCell ref="A16:M16"/>
    <mergeCell ref="G63:L63"/>
    <mergeCell ref="N63:S63"/>
    <mergeCell ref="A54:S54"/>
    <mergeCell ref="A58:B58"/>
    <mergeCell ref="A60:B60"/>
    <mergeCell ref="A20:B20"/>
    <mergeCell ref="A21:B21"/>
    <mergeCell ref="G22:H22"/>
    <mergeCell ref="G23:H23"/>
    <mergeCell ref="A22:B22"/>
    <mergeCell ref="N22:O22"/>
    <mergeCell ref="A56:B56"/>
    <mergeCell ref="A57:B57"/>
  </mergeCells>
  <phoneticPr fontId="14" type="noConversion"/>
  <pageMargins left="0.7" right="0.7" top="0.75" bottom="0.75" header="0.3" footer="0.3"/>
  <pageSetup orientation="portrait" horizontalDpi="4294967293" verticalDpi="0" r:id="rId1"/>
  <rowBreaks count="1" manualBreakCount="1">
    <brk id="90" max="16383" man="1"/>
  </rowBreaks>
  <colBreaks count="1" manualBreakCount="1">
    <brk id="11" max="1048575" man="1"/>
  </col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2A192-3568-430C-B9A2-F84BEA6819F9}">
  <sheetPr codeName="Sheet18"/>
  <dimension ref="A1:U142"/>
  <sheetViews>
    <sheetView topLeftCell="A101" zoomScale="70" zoomScaleNormal="70" workbookViewId="0">
      <selection activeCell="G137" sqref="G137"/>
    </sheetView>
  </sheetViews>
  <sheetFormatPr defaultColWidth="19.28515625" defaultRowHeight="15" x14ac:dyDescent="0.2"/>
  <cols>
    <col min="1" max="1" width="13.85546875" style="76" customWidth="1"/>
    <col min="2" max="2" width="19.42578125" style="76" customWidth="1"/>
    <col min="3" max="4" width="18.28515625" style="76" bestFit="1" customWidth="1"/>
    <col min="5" max="12" width="15.5703125" style="76" bestFit="1" customWidth="1"/>
    <col min="13" max="17" width="19.28515625" style="76"/>
    <col min="18" max="18" width="16.42578125" style="76" customWidth="1"/>
    <col min="19" max="19" width="0.5703125" style="76" customWidth="1"/>
    <col min="20" max="20" width="1.42578125" style="76" customWidth="1"/>
    <col min="21" max="21" width="19.28515625" style="76" hidden="1" customWidth="1"/>
    <col min="22" max="16384" width="19.28515625" style="76"/>
  </cols>
  <sheetData>
    <row r="1" spans="1:19" ht="15.75" x14ac:dyDescent="0.2">
      <c r="A1" s="116" t="s">
        <v>189</v>
      </c>
      <c r="B1" s="116"/>
      <c r="C1" s="116"/>
      <c r="D1" s="116"/>
      <c r="E1" s="116"/>
      <c r="F1" s="116"/>
      <c r="G1" s="116"/>
      <c r="H1" s="116"/>
      <c r="I1" s="116"/>
      <c r="J1" s="116"/>
      <c r="K1" s="116"/>
      <c r="L1" s="116"/>
      <c r="M1" s="116"/>
    </row>
    <row r="2" spans="1:19" x14ac:dyDescent="0.2">
      <c r="A2" s="117" t="s">
        <v>148</v>
      </c>
      <c r="B2" s="117"/>
      <c r="C2" s="117"/>
      <c r="D2" s="117"/>
      <c r="E2" s="117"/>
      <c r="F2" s="117"/>
      <c r="G2" s="117"/>
      <c r="H2" s="117"/>
      <c r="I2" s="117"/>
      <c r="J2" s="117"/>
      <c r="K2" s="117"/>
      <c r="L2" s="117"/>
      <c r="M2" s="117"/>
    </row>
    <row r="3" spans="1:19" x14ac:dyDescent="0.2">
      <c r="A3" s="117" t="s">
        <v>149</v>
      </c>
      <c r="B3" s="117"/>
      <c r="C3" s="117"/>
      <c r="D3" s="117"/>
      <c r="E3" s="117"/>
      <c r="F3" s="117"/>
      <c r="G3" s="117"/>
      <c r="H3" s="117"/>
      <c r="I3" s="117"/>
      <c r="J3" s="117"/>
      <c r="K3" s="117"/>
      <c r="L3" s="117"/>
      <c r="M3" s="117"/>
    </row>
    <row r="4" spans="1:19" x14ac:dyDescent="0.2">
      <c r="A4" s="117" t="s">
        <v>150</v>
      </c>
      <c r="B4" s="117"/>
      <c r="C4" s="117"/>
      <c r="D4" s="117"/>
      <c r="E4" s="117"/>
      <c r="F4" s="117"/>
      <c r="G4" s="117"/>
      <c r="H4" s="117"/>
      <c r="I4" s="117"/>
      <c r="J4" s="117"/>
      <c r="K4" s="117"/>
      <c r="L4" s="117"/>
      <c r="M4" s="117"/>
    </row>
    <row r="5" spans="1:19" x14ac:dyDescent="0.2">
      <c r="A5" s="117" t="s">
        <v>151</v>
      </c>
      <c r="B5" s="117"/>
      <c r="C5" s="117"/>
      <c r="D5" s="117"/>
      <c r="E5" s="117"/>
      <c r="F5" s="117"/>
      <c r="G5" s="117"/>
      <c r="H5" s="117"/>
      <c r="I5" s="117"/>
      <c r="J5" s="117"/>
      <c r="K5" s="117"/>
      <c r="L5" s="117"/>
      <c r="M5" s="117"/>
    </row>
    <row r="7" spans="1:19" ht="15.75" x14ac:dyDescent="0.25">
      <c r="A7" s="123" t="s">
        <v>152</v>
      </c>
      <c r="B7" s="123"/>
      <c r="C7" s="123"/>
      <c r="D7" s="123"/>
      <c r="E7" s="123"/>
      <c r="F7" s="123"/>
      <c r="G7" s="123"/>
      <c r="H7" s="123"/>
      <c r="I7" s="123"/>
      <c r="J7" s="123"/>
      <c r="K7" s="123"/>
      <c r="L7" s="123"/>
      <c r="M7" s="123"/>
      <c r="N7" s="123"/>
      <c r="O7" s="123"/>
      <c r="P7" s="123"/>
      <c r="Q7" s="123"/>
      <c r="R7" s="123"/>
      <c r="S7" s="123"/>
    </row>
    <row r="9" spans="1:19" x14ac:dyDescent="0.2">
      <c r="A9" s="76" t="s">
        <v>179</v>
      </c>
      <c r="B9" s="76">
        <v>0.5</v>
      </c>
    </row>
    <row r="10" spans="1:19" x14ac:dyDescent="0.2">
      <c r="A10" s="76" t="s">
        <v>180</v>
      </c>
      <c r="B10" s="76">
        <v>0.5</v>
      </c>
    </row>
    <row r="11" spans="1:19" ht="15.75" x14ac:dyDescent="0.25">
      <c r="A11" s="75"/>
      <c r="B11" s="93" t="s">
        <v>153</v>
      </c>
      <c r="C11" s="75"/>
      <c r="D11" s="75"/>
      <c r="E11" s="75"/>
      <c r="F11" s="75"/>
      <c r="G11" s="75"/>
      <c r="H11" s="75"/>
      <c r="I11" s="75"/>
      <c r="J11" s="75"/>
      <c r="K11" s="75"/>
      <c r="L11" s="75"/>
    </row>
    <row r="12" spans="1:19" ht="15.75" x14ac:dyDescent="0.25">
      <c r="A12" s="93" t="s">
        <v>84</v>
      </c>
      <c r="B12" s="75">
        <v>0</v>
      </c>
      <c r="C12" s="75">
        <v>1</v>
      </c>
      <c r="D12" s="75">
        <v>2</v>
      </c>
      <c r="E12" s="75">
        <v>3</v>
      </c>
      <c r="F12" s="75">
        <v>4</v>
      </c>
      <c r="G12" s="75">
        <v>5</v>
      </c>
      <c r="H12" s="75">
        <v>6</v>
      </c>
      <c r="I12" s="75">
        <v>7</v>
      </c>
      <c r="J12" s="75">
        <v>8</v>
      </c>
      <c r="K12" s="75">
        <v>9</v>
      </c>
      <c r="L12" s="75">
        <v>10</v>
      </c>
    </row>
    <row r="13" spans="1:19" ht="15.75" x14ac:dyDescent="0.25">
      <c r="A13" s="93" t="s">
        <v>154</v>
      </c>
      <c r="B13" s="75">
        <f>B12*$B$9</f>
        <v>0</v>
      </c>
      <c r="C13" s="75">
        <f t="shared" ref="C13:L13" si="0">C12*$B$9</f>
        <v>0.5</v>
      </c>
      <c r="D13" s="75">
        <f t="shared" si="0"/>
        <v>1</v>
      </c>
      <c r="E13" s="75">
        <f t="shared" si="0"/>
        <v>1.5</v>
      </c>
      <c r="F13" s="75">
        <f t="shared" si="0"/>
        <v>2</v>
      </c>
      <c r="G13" s="75">
        <f t="shared" si="0"/>
        <v>2.5</v>
      </c>
      <c r="H13" s="75">
        <f t="shared" si="0"/>
        <v>3</v>
      </c>
      <c r="I13" s="75">
        <f t="shared" si="0"/>
        <v>3.5</v>
      </c>
      <c r="J13" s="75">
        <f t="shared" si="0"/>
        <v>4</v>
      </c>
      <c r="K13" s="75">
        <f t="shared" si="0"/>
        <v>4.5</v>
      </c>
      <c r="L13" s="75">
        <f t="shared" si="0"/>
        <v>5</v>
      </c>
    </row>
    <row r="14" spans="1:19" x14ac:dyDescent="0.2">
      <c r="A14" s="75"/>
      <c r="B14" s="75"/>
      <c r="C14" s="75"/>
      <c r="D14" s="75"/>
      <c r="E14" s="75"/>
      <c r="F14" s="75"/>
      <c r="G14" s="75"/>
      <c r="H14" s="75"/>
      <c r="I14" s="75"/>
      <c r="J14" s="75"/>
      <c r="K14" s="75"/>
      <c r="L14" s="75"/>
    </row>
    <row r="15" spans="1:19" x14ac:dyDescent="0.2">
      <c r="A15" s="75">
        <v>0</v>
      </c>
      <c r="B15" s="75">
        <v>1.7475909979246751E-2</v>
      </c>
      <c r="C15" s="75">
        <v>2.920322611806947E-2</v>
      </c>
      <c r="D15" s="75">
        <v>4.8046507900720847E-2</v>
      </c>
      <c r="E15" s="75">
        <v>6.6886356945823788E-2</v>
      </c>
      <c r="F15" s="75">
        <v>9.2411617308007621E-2</v>
      </c>
      <c r="G15" s="75">
        <v>0.11468006702092826</v>
      </c>
      <c r="H15" s="75">
        <v>0.132469706219982</v>
      </c>
      <c r="I15" s="75">
        <v>0.15147286090085244</v>
      </c>
      <c r="J15" s="75">
        <v>0.181572962017166</v>
      </c>
      <c r="K15" s="75">
        <v>0.22764081424810456</v>
      </c>
      <c r="L15" s="75">
        <v>0.26547794697117411</v>
      </c>
    </row>
    <row r="16" spans="1:19" x14ac:dyDescent="0.2">
      <c r="A16" s="75">
        <v>1</v>
      </c>
      <c r="B16" s="75" t="s">
        <v>155</v>
      </c>
      <c r="C16" s="75">
        <v>2.1530196295929116E-2</v>
      </c>
      <c r="D16" s="75">
        <v>3.5379486491364798E-2</v>
      </c>
      <c r="E16" s="75">
        <v>4.919300114879821E-2</v>
      </c>
      <c r="F16" s="75">
        <v>6.7855946981184356E-2</v>
      </c>
      <c r="G16" s="75">
        <v>8.4089103963082668E-2</v>
      </c>
      <c r="H16" s="75">
        <v>9.7025231933756118E-2</v>
      </c>
      <c r="I16" s="75">
        <v>0.11081268039069414</v>
      </c>
      <c r="J16" s="75">
        <v>0.13258643228182132</v>
      </c>
      <c r="K16" s="75">
        <v>0.16575959710386901</v>
      </c>
      <c r="L16" s="75">
        <v>0.19287191709525331</v>
      </c>
    </row>
    <row r="17" spans="1:19" x14ac:dyDescent="0.2">
      <c r="A17" s="75">
        <v>2</v>
      </c>
      <c r="B17" s="75" t="s">
        <v>155</v>
      </c>
      <c r="C17" s="75" t="s">
        <v>155</v>
      </c>
      <c r="D17" s="75">
        <v>2.6073264771119931E-2</v>
      </c>
      <c r="E17" s="75">
        <v>3.622104992952524E-2</v>
      </c>
      <c r="F17" s="75">
        <v>4.9903019106437796E-2</v>
      </c>
      <c r="G17" s="75">
        <v>6.1777463467123095E-2</v>
      </c>
      <c r="H17" s="75">
        <v>7.1222852913554568E-2</v>
      </c>
      <c r="I17" s="75">
        <v>8.1273091330517744E-2</v>
      </c>
      <c r="J17" s="75">
        <v>9.7110018501401996E-2</v>
      </c>
      <c r="K17" s="75">
        <v>0.12115725002707212</v>
      </c>
      <c r="L17" s="75">
        <v>0.14073954293680435</v>
      </c>
    </row>
    <row r="18" spans="1:19" x14ac:dyDescent="0.2">
      <c r="A18" s="75">
        <v>3</v>
      </c>
      <c r="B18" s="75" t="s">
        <v>155</v>
      </c>
      <c r="C18" s="75" t="s">
        <v>155</v>
      </c>
      <c r="D18" s="75" t="s">
        <v>155</v>
      </c>
      <c r="E18" s="75">
        <v>2.6692014031089784E-2</v>
      </c>
      <c r="F18" s="75">
        <v>3.6742164567572733E-2</v>
      </c>
      <c r="G18" s="75">
        <v>4.5450387022127892E-2</v>
      </c>
      <c r="H18" s="75">
        <v>5.2367884515379437E-2</v>
      </c>
      <c r="I18" s="75">
        <v>5.9719307117475751E-2</v>
      </c>
      <c r="J18" s="75">
        <v>7.1284710002064156E-2</v>
      </c>
      <c r="K18" s="75">
        <v>8.8802410496379824E-2</v>
      </c>
      <c r="L18" s="75">
        <v>0.10302921534199605</v>
      </c>
    </row>
    <row r="19" spans="1:19" x14ac:dyDescent="0.2">
      <c r="A19" s="75">
        <v>4</v>
      </c>
      <c r="B19" s="75" t="s">
        <v>155</v>
      </c>
      <c r="C19" s="75" t="s">
        <v>155</v>
      </c>
      <c r="D19" s="75" t="s">
        <v>155</v>
      </c>
      <c r="E19" s="75" t="s">
        <v>155</v>
      </c>
      <c r="F19" s="75">
        <v>2.7075123711031601E-2</v>
      </c>
      <c r="G19" s="75">
        <v>3.3473393871533919E-2</v>
      </c>
      <c r="H19" s="75">
        <v>3.855087599172391E-2</v>
      </c>
      <c r="I19" s="75">
        <v>4.3941961966867282E-2</v>
      </c>
      <c r="J19" s="75">
        <v>5.2413159436517809E-2</v>
      </c>
      <c r="K19" s="75">
        <v>6.5220681231908273E-2</v>
      </c>
      <c r="L19" s="75">
        <v>7.5601519544077789E-2</v>
      </c>
    </row>
    <row r="20" spans="1:19" x14ac:dyDescent="0.2">
      <c r="A20" s="75">
        <v>5</v>
      </c>
      <c r="B20" s="75" t="s">
        <v>155</v>
      </c>
      <c r="C20" s="75" t="s">
        <v>155</v>
      </c>
      <c r="D20" s="75" t="s">
        <v>155</v>
      </c>
      <c r="E20" s="75" t="s">
        <v>155</v>
      </c>
      <c r="F20" s="75" t="s">
        <v>155</v>
      </c>
      <c r="G20" s="75">
        <v>2.4671586124137335E-2</v>
      </c>
      <c r="H20" s="75">
        <v>2.8404641744045556E-2</v>
      </c>
      <c r="I20" s="75">
        <v>3.23656057977324E-2</v>
      </c>
      <c r="J20" s="75">
        <v>3.8584093292324262E-2</v>
      </c>
      <c r="K20" s="75">
        <v>4.7973045596142239E-2</v>
      </c>
      <c r="L20" s="75">
        <v>5.5571880188587386E-2</v>
      </c>
    </row>
    <row r="21" spans="1:19" x14ac:dyDescent="0.2">
      <c r="A21" s="75">
        <v>6</v>
      </c>
      <c r="B21" s="75" t="s">
        <v>155</v>
      </c>
      <c r="C21" s="75" t="s">
        <v>155</v>
      </c>
      <c r="D21" s="75" t="s">
        <v>155</v>
      </c>
      <c r="E21" s="75" t="s">
        <v>155</v>
      </c>
      <c r="F21" s="75" t="s">
        <v>155</v>
      </c>
      <c r="G21" s="75" t="s">
        <v>155</v>
      </c>
      <c r="H21" s="75">
        <v>2.0942518373710861E-2</v>
      </c>
      <c r="I21" s="75">
        <v>2.3856796963421356E-2</v>
      </c>
      <c r="J21" s="75">
        <v>2.842905569089238E-2</v>
      </c>
      <c r="K21" s="75">
        <v>3.5325558567085746E-2</v>
      </c>
      <c r="L21" s="75">
        <v>4.0901110841546462E-2</v>
      </c>
    </row>
    <row r="22" spans="1:19" x14ac:dyDescent="0.2">
      <c r="A22" s="75">
        <v>7</v>
      </c>
      <c r="B22" s="75" t="s">
        <v>155</v>
      </c>
      <c r="C22" s="75" t="s">
        <v>155</v>
      </c>
      <c r="D22" s="75" t="s">
        <v>155</v>
      </c>
      <c r="E22" s="75" t="s">
        <v>155</v>
      </c>
      <c r="F22" s="75" t="s">
        <v>155</v>
      </c>
      <c r="G22" s="75" t="s">
        <v>155</v>
      </c>
      <c r="H22" s="75" t="s">
        <v>155</v>
      </c>
      <c r="I22" s="75">
        <v>1.7594607553565123E-2</v>
      </c>
      <c r="J22" s="75">
        <v>2.0960485483378921E-2</v>
      </c>
      <c r="K22" s="75">
        <v>2.6033612642864412E-2</v>
      </c>
      <c r="L22" s="75">
        <v>3.0131753515136861E-2</v>
      </c>
    </row>
    <row r="23" spans="1:19" x14ac:dyDescent="0.2">
      <c r="A23" s="75">
        <v>8</v>
      </c>
      <c r="B23" s="75" t="s">
        <v>155</v>
      </c>
      <c r="C23" s="75" t="s">
        <v>155</v>
      </c>
      <c r="D23" s="75" t="s">
        <v>155</v>
      </c>
      <c r="E23" s="75" t="s">
        <v>155</v>
      </c>
      <c r="F23" s="75" t="s">
        <v>155</v>
      </c>
      <c r="G23" s="75" t="s">
        <v>155</v>
      </c>
      <c r="H23" s="75" t="s">
        <v>155</v>
      </c>
      <c r="I23" s="75" t="s">
        <v>155</v>
      </c>
      <c r="J23" s="75">
        <v>1.546145364086593E-2</v>
      </c>
      <c r="K23" s="75">
        <v>1.919732258945217E-2</v>
      </c>
      <c r="L23" s="75">
        <v>2.2213423246571384E-2</v>
      </c>
    </row>
    <row r="24" spans="1:19" x14ac:dyDescent="0.2">
      <c r="A24" s="75">
        <v>9</v>
      </c>
      <c r="B24" s="75" t="s">
        <v>155</v>
      </c>
      <c r="C24" s="75" t="s">
        <v>155</v>
      </c>
      <c r="D24" s="75" t="s">
        <v>155</v>
      </c>
      <c r="E24" s="75" t="s">
        <v>155</v>
      </c>
      <c r="F24" s="75" t="s">
        <v>155</v>
      </c>
      <c r="G24" s="75" t="s">
        <v>155</v>
      </c>
      <c r="H24" s="75" t="s">
        <v>155</v>
      </c>
      <c r="I24" s="75" t="s">
        <v>155</v>
      </c>
      <c r="J24" s="75" t="s">
        <v>155</v>
      </c>
      <c r="K24" s="75">
        <v>1.4162480473365768E-2</v>
      </c>
      <c r="L24" s="75">
        <v>1.6384349163720113E-2</v>
      </c>
    </row>
    <row r="25" spans="1:19" x14ac:dyDescent="0.2">
      <c r="A25" s="75">
        <v>10</v>
      </c>
      <c r="B25" s="75" t="s">
        <v>155</v>
      </c>
      <c r="C25" s="75" t="s">
        <v>155</v>
      </c>
      <c r="D25" s="75" t="s">
        <v>155</v>
      </c>
      <c r="E25" s="75" t="s">
        <v>155</v>
      </c>
      <c r="F25" s="75" t="s">
        <v>155</v>
      </c>
      <c r="G25" s="75" t="s">
        <v>155</v>
      </c>
      <c r="H25" s="75" t="s">
        <v>155</v>
      </c>
      <c r="I25" s="75" t="s">
        <v>155</v>
      </c>
      <c r="J25" s="75" t="s">
        <v>155</v>
      </c>
      <c r="K25" s="75" t="s">
        <v>155</v>
      </c>
      <c r="L25" s="75">
        <v>1.2089467547789834E-2</v>
      </c>
    </row>
    <row r="28" spans="1:19" ht="15.75" x14ac:dyDescent="0.2">
      <c r="A28" s="116" t="s">
        <v>156</v>
      </c>
      <c r="B28" s="116"/>
      <c r="C28" s="116"/>
      <c r="D28" s="116"/>
      <c r="E28" s="116"/>
      <c r="F28" s="116"/>
      <c r="G28" s="116"/>
      <c r="H28" s="116"/>
      <c r="I28" s="116"/>
      <c r="J28" s="116"/>
      <c r="K28" s="116"/>
      <c r="L28" s="116"/>
      <c r="M28" s="116"/>
      <c r="N28" s="116"/>
      <c r="O28" s="116"/>
      <c r="P28" s="116"/>
      <c r="Q28" s="116"/>
      <c r="R28" s="116"/>
      <c r="S28" s="116"/>
    </row>
    <row r="30" spans="1:19" ht="15.75" x14ac:dyDescent="0.25">
      <c r="A30" s="123" t="s">
        <v>190</v>
      </c>
      <c r="B30" s="123"/>
      <c r="C30" s="123"/>
      <c r="D30" s="123"/>
      <c r="E30" s="123"/>
      <c r="F30" s="123"/>
      <c r="G30" s="123"/>
      <c r="H30" s="123"/>
      <c r="I30" s="123"/>
    </row>
    <row r="32" spans="1:19" x14ac:dyDescent="0.2">
      <c r="A32" s="76" t="s">
        <v>118</v>
      </c>
      <c r="B32" s="101">
        <v>100</v>
      </c>
    </row>
    <row r="33" spans="1:5" x14ac:dyDescent="0.2">
      <c r="A33" s="76" t="s">
        <v>120</v>
      </c>
      <c r="B33" s="101">
        <v>0</v>
      </c>
    </row>
    <row r="34" spans="1:5" x14ac:dyDescent="0.2">
      <c r="A34" s="76" t="s">
        <v>115</v>
      </c>
      <c r="B34" s="76">
        <v>2</v>
      </c>
      <c r="E34" s="100"/>
    </row>
    <row r="36" spans="1:5" ht="15.75" x14ac:dyDescent="0.25">
      <c r="A36" s="78" t="s">
        <v>157</v>
      </c>
      <c r="B36" s="78" t="s">
        <v>158</v>
      </c>
      <c r="C36" s="78" t="s">
        <v>159</v>
      </c>
      <c r="D36" s="112" t="s">
        <v>160</v>
      </c>
    </row>
    <row r="37" spans="1:5" x14ac:dyDescent="0.2">
      <c r="A37" s="76" cm="1">
        <f t="array" ref="A37:A46">A16:A25</f>
        <v>1</v>
      </c>
      <c r="B37" s="76">
        <f t="array" ref="B37:B46">TRANSPOSE(C13:L13)</f>
        <v>0.5</v>
      </c>
      <c r="C37" s="101">
        <f t="shared" ref="C37:C46" si="1">BondBin($B$32,B37,$B$33,$B$34,$B$9,prob,$B$15:$L$25)</f>
        <v>99.133773548779246</v>
      </c>
      <c r="D37" s="113">
        <f>(($B$32/C37)^(1/A37)-1)*2</f>
        <v>1.7475909979246751E-2</v>
      </c>
    </row>
    <row r="38" spans="1:5" x14ac:dyDescent="0.2">
      <c r="A38" s="76">
        <v>2</v>
      </c>
      <c r="B38" s="76">
        <v>1</v>
      </c>
      <c r="C38" s="101">
        <f t="shared" si="1"/>
        <v>97.892523566196559</v>
      </c>
      <c r="D38" s="113">
        <f t="shared" ref="D38:D46" si="2">(($B$32/C38)^(1/A38)-1)*2</f>
        <v>2.1413833739093668E-2</v>
      </c>
    </row>
    <row r="39" spans="1:5" x14ac:dyDescent="0.2">
      <c r="A39" s="76">
        <v>3</v>
      </c>
      <c r="B39" s="76">
        <v>1.5</v>
      </c>
      <c r="C39" s="101">
        <f t="shared" si="1"/>
        <v>96.153144938325639</v>
      </c>
      <c r="D39" s="113">
        <f t="shared" si="2"/>
        <v>2.6323733403120109E-2</v>
      </c>
    </row>
    <row r="40" spans="1:5" x14ac:dyDescent="0.2">
      <c r="A40" s="76">
        <v>4</v>
      </c>
      <c r="B40" s="76">
        <v>2</v>
      </c>
      <c r="C40" s="101">
        <f t="shared" si="1"/>
        <v>94.101142878304671</v>
      </c>
      <c r="D40" s="113">
        <f t="shared" si="2"/>
        <v>3.0632212075052401E-2</v>
      </c>
    </row>
    <row r="41" spans="1:5" x14ac:dyDescent="0.2">
      <c r="A41" s="76">
        <v>5</v>
      </c>
      <c r="B41" s="76">
        <v>2.5</v>
      </c>
      <c r="C41" s="101">
        <f t="shared" si="1"/>
        <v>91.713555012921788</v>
      </c>
      <c r="D41" s="113">
        <f t="shared" si="2"/>
        <v>3.4901022799481485E-2</v>
      </c>
    </row>
    <row r="42" spans="1:5" x14ac:dyDescent="0.2">
      <c r="A42" s="76">
        <v>6</v>
      </c>
      <c r="B42" s="76">
        <v>3</v>
      </c>
      <c r="C42" s="101">
        <f t="shared" si="1"/>
        <v>89.225795662443957</v>
      </c>
      <c r="D42" s="113">
        <f t="shared" si="2"/>
        <v>3.8363296952287573E-2</v>
      </c>
    </row>
    <row r="43" spans="1:5" x14ac:dyDescent="0.2">
      <c r="A43" s="76">
        <v>7</v>
      </c>
      <c r="B43" s="76">
        <v>3.5</v>
      </c>
      <c r="C43" s="101">
        <f t="shared" si="1"/>
        <v>86.814198761307154</v>
      </c>
      <c r="D43" s="113">
        <f t="shared" si="2"/>
        <v>4.0810800671487346E-2</v>
      </c>
    </row>
    <row r="44" spans="1:5" x14ac:dyDescent="0.2">
      <c r="A44" s="76">
        <v>8</v>
      </c>
      <c r="B44" s="76">
        <v>4</v>
      </c>
      <c r="C44" s="101">
        <f t="shared" si="1"/>
        <v>84.5015763575325</v>
      </c>
      <c r="D44" s="113">
        <f t="shared" si="2"/>
        <v>4.2546227185723318E-2</v>
      </c>
    </row>
    <row r="45" spans="1:5" x14ac:dyDescent="0.2">
      <c r="A45" s="76">
        <v>9</v>
      </c>
      <c r="B45" s="76">
        <v>4.5</v>
      </c>
      <c r="C45" s="101">
        <f t="shared" si="1"/>
        <v>82.184785097264296</v>
      </c>
      <c r="D45" s="113">
        <f t="shared" si="2"/>
        <v>4.4078711677882687E-2</v>
      </c>
    </row>
    <row r="46" spans="1:5" x14ac:dyDescent="0.2">
      <c r="A46" s="76">
        <v>10</v>
      </c>
      <c r="B46" s="76">
        <v>5</v>
      </c>
      <c r="C46" s="101">
        <f t="shared" si="1"/>
        <v>79.7718102122179</v>
      </c>
      <c r="D46" s="113">
        <f t="shared" si="2"/>
        <v>4.5714629446547139E-2</v>
      </c>
    </row>
    <row r="49" spans="1:19" ht="15.75" x14ac:dyDescent="0.2">
      <c r="A49" s="116" t="s">
        <v>162</v>
      </c>
      <c r="B49" s="116"/>
      <c r="C49" s="116"/>
      <c r="D49" s="116"/>
      <c r="E49" s="116"/>
      <c r="F49" s="116"/>
      <c r="G49" s="116"/>
      <c r="H49" s="116"/>
      <c r="I49" s="116"/>
      <c r="J49" s="116"/>
      <c r="K49" s="116"/>
      <c r="L49" s="116"/>
      <c r="M49" s="116"/>
      <c r="N49" s="116"/>
      <c r="O49" s="116"/>
      <c r="P49" s="116"/>
      <c r="Q49" s="116"/>
      <c r="R49" s="116"/>
      <c r="S49" s="116"/>
    </row>
    <row r="50" spans="1:19" ht="15.75" x14ac:dyDescent="0.2">
      <c r="A50" s="116" t="s">
        <v>161</v>
      </c>
      <c r="B50" s="116"/>
      <c r="C50" s="116"/>
      <c r="D50" s="116"/>
      <c r="E50" s="116"/>
      <c r="F50" s="116"/>
      <c r="G50" s="116"/>
      <c r="H50" s="116"/>
      <c r="I50" s="116"/>
      <c r="J50" s="116"/>
      <c r="K50" s="116"/>
      <c r="L50" s="116"/>
      <c r="M50" s="116"/>
      <c r="N50" s="116"/>
      <c r="O50" s="116"/>
      <c r="P50" s="116"/>
      <c r="Q50" s="116"/>
      <c r="R50" s="116"/>
      <c r="S50" s="116"/>
    </row>
    <row r="52" spans="1:19" ht="15.75" x14ac:dyDescent="0.2">
      <c r="A52" s="116" t="s">
        <v>192</v>
      </c>
      <c r="B52" s="116"/>
      <c r="C52" s="116"/>
      <c r="D52" s="116"/>
      <c r="E52" s="116"/>
      <c r="F52" s="116"/>
      <c r="G52" s="116"/>
      <c r="H52" s="116"/>
      <c r="I52" s="116"/>
      <c r="J52" s="116"/>
      <c r="K52" s="116"/>
      <c r="L52" s="116"/>
      <c r="M52" s="116"/>
      <c r="N52" s="116"/>
      <c r="O52" s="116"/>
      <c r="P52" s="116"/>
      <c r="Q52" s="116"/>
      <c r="R52" s="116"/>
      <c r="S52" s="116"/>
    </row>
    <row r="54" spans="1:19" x14ac:dyDescent="0.2">
      <c r="A54" s="122" t="s">
        <v>119</v>
      </c>
      <c r="B54" s="122"/>
      <c r="C54" s="75">
        <v>5</v>
      </c>
    </row>
    <row r="55" spans="1:19" x14ac:dyDescent="0.2">
      <c r="A55" s="122" t="s">
        <v>117</v>
      </c>
      <c r="B55" s="122"/>
      <c r="C55" s="104">
        <v>100</v>
      </c>
    </row>
    <row r="56" spans="1:19" x14ac:dyDescent="0.2">
      <c r="A56" s="122" t="s">
        <v>116</v>
      </c>
      <c r="B56" s="122"/>
      <c r="C56" s="97">
        <v>5.2499999999999998E-2</v>
      </c>
    </row>
    <row r="57" spans="1:19" x14ac:dyDescent="0.2">
      <c r="A57" s="122" t="s">
        <v>114</v>
      </c>
      <c r="B57" s="122"/>
      <c r="C57" s="75">
        <v>2</v>
      </c>
    </row>
    <row r="58" spans="1:19" x14ac:dyDescent="0.2">
      <c r="A58" s="118" t="s">
        <v>165</v>
      </c>
      <c r="B58" s="118"/>
      <c r="C58" s="101">
        <f>par*couponrate/frequency</f>
        <v>2.625</v>
      </c>
    </row>
    <row r="60" spans="1:19" ht="15.75" x14ac:dyDescent="0.25">
      <c r="B60" s="78" t="s">
        <v>153</v>
      </c>
    </row>
    <row r="61" spans="1:19" ht="15.75" x14ac:dyDescent="0.25">
      <c r="A61" s="78" t="s">
        <v>84</v>
      </c>
      <c r="B61" s="76">
        <v>0</v>
      </c>
      <c r="C61" s="76">
        <f>B61+1</f>
        <v>1</v>
      </c>
      <c r="D61" s="76">
        <f t="shared" ref="D61:L61" si="3">C61+1</f>
        <v>2</v>
      </c>
      <c r="E61" s="76">
        <f t="shared" si="3"/>
        <v>3</v>
      </c>
      <c r="F61" s="76">
        <f t="shared" si="3"/>
        <v>4</v>
      </c>
      <c r="G61" s="76">
        <f t="shared" si="3"/>
        <v>5</v>
      </c>
      <c r="H61" s="76">
        <f t="shared" si="3"/>
        <v>6</v>
      </c>
      <c r="I61" s="76">
        <f t="shared" si="3"/>
        <v>7</v>
      </c>
      <c r="J61" s="76">
        <f t="shared" si="3"/>
        <v>8</v>
      </c>
      <c r="K61" s="76">
        <f t="shared" si="3"/>
        <v>9</v>
      </c>
      <c r="L61" s="76">
        <f t="shared" si="3"/>
        <v>10</v>
      </c>
    </row>
    <row r="62" spans="1:19" ht="15.75" x14ac:dyDescent="0.25">
      <c r="A62" s="78" t="s">
        <v>163</v>
      </c>
      <c r="B62" s="76">
        <f>B61*$B$9</f>
        <v>0</v>
      </c>
      <c r="C62" s="76">
        <f t="shared" ref="C62:L62" si="4">C61*$B$9</f>
        <v>0.5</v>
      </c>
      <c r="D62" s="76">
        <f t="shared" si="4"/>
        <v>1</v>
      </c>
      <c r="E62" s="76">
        <f t="shared" si="4"/>
        <v>1.5</v>
      </c>
      <c r="F62" s="76">
        <f t="shared" si="4"/>
        <v>2</v>
      </c>
      <c r="G62" s="76">
        <f t="shared" si="4"/>
        <v>2.5</v>
      </c>
      <c r="H62" s="76">
        <f t="shared" si="4"/>
        <v>3</v>
      </c>
      <c r="I62" s="76">
        <f t="shared" si="4"/>
        <v>3.5</v>
      </c>
      <c r="J62" s="76">
        <f t="shared" si="4"/>
        <v>4</v>
      </c>
      <c r="K62" s="76">
        <f t="shared" si="4"/>
        <v>4.5</v>
      </c>
      <c r="L62" s="76">
        <f t="shared" si="4"/>
        <v>5</v>
      </c>
    </row>
    <row r="64" spans="1:19" x14ac:dyDescent="0.2">
      <c r="A64" s="76">
        <v>0</v>
      </c>
      <c r="B64" s="108">
        <f t="shared" ref="B64:L64" si="5">IF(B$62&gt;maturity,"",IF($A64&gt;B$61,"",IF(B$62=maturity,par,(prob*(coupon_per_period+C64)+(1-prob)*(coupon_per_period+C65))/(1+B15/2))))</f>
        <v>103.43598324564438</v>
      </c>
      <c r="C64" s="101">
        <f t="shared" si="5"/>
        <v>98.770480980530053</v>
      </c>
      <c r="D64" s="101">
        <f t="shared" si="5"/>
        <v>94.468130879200743</v>
      </c>
      <c r="E64" s="101">
        <f t="shared" si="5"/>
        <v>90.897316595617866</v>
      </c>
      <c r="F64" s="101">
        <f t="shared" si="5"/>
        <v>88.079725394880612</v>
      </c>
      <c r="G64" s="101">
        <f t="shared" si="5"/>
        <v>86.390926743196175</v>
      </c>
      <c r="H64" s="101">
        <f t="shared" si="5"/>
        <v>85.799915060553616</v>
      </c>
      <c r="I64" s="101">
        <f t="shared" si="5"/>
        <v>86.269780789550865</v>
      </c>
      <c r="J64" s="101">
        <f t="shared" si="5"/>
        <v>88.082444266159911</v>
      </c>
      <c r="K64" s="101">
        <f t="shared" si="5"/>
        <v>92.137834199845187</v>
      </c>
      <c r="L64" s="101">
        <f t="shared" si="5"/>
        <v>100</v>
      </c>
    </row>
    <row r="65" spans="1:19" x14ac:dyDescent="0.2">
      <c r="A65" s="76">
        <f>A64+1</f>
        <v>1</v>
      </c>
      <c r="B65" s="101" t="str">
        <f t="shared" ref="B65:L65" si="6">IF(B$62&gt;maturity,"",IF($A65&gt;B$61,"",IF(B$62=maturity,par,(prob*(coupon_per_period+C65)+(1-prob)*(coupon_per_period+C66))/(1+B16/2))))</f>
        <v/>
      </c>
      <c r="C65" s="101">
        <f t="shared" si="6"/>
        <v>104.65912344257445</v>
      </c>
      <c r="D65" s="101">
        <f t="shared" si="6"/>
        <v>100.70724777172427</v>
      </c>
      <c r="E65" s="101">
        <f t="shared" si="6"/>
        <v>97.327808959437462</v>
      </c>
      <c r="F65" s="101">
        <f t="shared" si="6"/>
        <v>94.544698159587156</v>
      </c>
      <c r="G65" s="101">
        <f t="shared" si="6"/>
        <v>92.658113922351149</v>
      </c>
      <c r="H65" s="101">
        <f t="shared" si="6"/>
        <v>91.639255694748599</v>
      </c>
      <c r="I65" s="101">
        <f t="shared" si="6"/>
        <v>91.445938873327307</v>
      </c>
      <c r="J65" s="101">
        <f t="shared" si="6"/>
        <v>92.274647818424498</v>
      </c>
      <c r="K65" s="101">
        <f t="shared" si="6"/>
        <v>94.770444639593251</v>
      </c>
      <c r="L65" s="101">
        <f t="shared" si="6"/>
        <v>100</v>
      </c>
    </row>
    <row r="66" spans="1:19" x14ac:dyDescent="0.2">
      <c r="A66" s="76">
        <f t="shared" ref="A66:A74" si="7">A65+1</f>
        <v>2</v>
      </c>
      <c r="B66" s="101" t="str">
        <f t="shared" ref="B66:L66" si="8">IF(B$62&gt;maturity,"",IF($A66&gt;B$61,"",IF(B$62=maturity,par,(prob*(coupon_per_period+C66)+(1-prob)*(coupon_per_period+C67))/(1+B17/2))))</f>
        <v/>
      </c>
      <c r="C66" s="101" t="str">
        <f t="shared" si="8"/>
        <v/>
      </c>
      <c r="D66" s="101">
        <f t="shared" si="8"/>
        <v>105.61433058530314</v>
      </c>
      <c r="E66" s="101">
        <f t="shared" si="8"/>
        <v>102.39965729613334</v>
      </c>
      <c r="F66" s="101">
        <f t="shared" si="8"/>
        <v>99.648766777239388</v>
      </c>
      <c r="G66" s="101">
        <f t="shared" si="8"/>
        <v>97.5967024224922</v>
      </c>
      <c r="H66" s="101">
        <f t="shared" si="8"/>
        <v>96.218509924593448</v>
      </c>
      <c r="I66" s="101">
        <f t="shared" si="8"/>
        <v>95.473892554189632</v>
      </c>
      <c r="J66" s="101">
        <f t="shared" si="8"/>
        <v>95.500599525627081</v>
      </c>
      <c r="K66" s="101">
        <f t="shared" si="8"/>
        <v>96.763217341562211</v>
      </c>
      <c r="L66" s="101">
        <f t="shared" si="8"/>
        <v>100</v>
      </c>
    </row>
    <row r="67" spans="1:19" x14ac:dyDescent="0.2">
      <c r="A67" s="76">
        <f t="shared" si="7"/>
        <v>3</v>
      </c>
      <c r="B67" s="101" t="str">
        <f t="shared" ref="B67:L67" si="9">IF(B$62&gt;maturity,"",IF($A67&gt;B$61,"",IF(B$62=maturity,par,(prob*(coupon_per_period+C67)+(1-prob)*(coupon_per_period+C68))/(1+B18/2))))</f>
        <v/>
      </c>
      <c r="C67" s="101" t="str">
        <f t="shared" si="9"/>
        <v/>
      </c>
      <c r="D67" s="101" t="str">
        <f t="shared" si="9"/>
        <v/>
      </c>
      <c r="E67" s="101">
        <f t="shared" si="9"/>
        <v>106.33271427944814</v>
      </c>
      <c r="F67" s="101">
        <f t="shared" si="9"/>
        <v>103.60957091471681</v>
      </c>
      <c r="G67" s="101">
        <f t="shared" si="9"/>
        <v>101.42360544440412</v>
      </c>
      <c r="H67" s="101">
        <f t="shared" si="9"/>
        <v>99.75417163880816</v>
      </c>
      <c r="I67" s="101">
        <f t="shared" si="9"/>
        <v>98.566084074917967</v>
      </c>
      <c r="J67" s="101">
        <f t="shared" si="9"/>
        <v>97.956643971988882</v>
      </c>
      <c r="K67" s="101">
        <f t="shared" si="9"/>
        <v>98.262046696520571</v>
      </c>
      <c r="L67" s="101">
        <f t="shared" si="9"/>
        <v>100</v>
      </c>
    </row>
    <row r="68" spans="1:19" x14ac:dyDescent="0.2">
      <c r="A68" s="76">
        <f t="shared" si="7"/>
        <v>4</v>
      </c>
      <c r="B68" s="101" t="str">
        <f t="shared" ref="B68:L68" si="10">IF(B$62&gt;maturity,"",IF($A68&gt;B$61,"",IF(B$62=maturity,par,(prob*(coupon_per_period+C68)+(1-prob)*(coupon_per_period+C69))/(1+B19/2))))</f>
        <v/>
      </c>
      <c r="C68" s="101" t="str">
        <f t="shared" si="10"/>
        <v/>
      </c>
      <c r="D68" s="101" t="str">
        <f t="shared" si="10"/>
        <v/>
      </c>
      <c r="E68" s="101" t="str">
        <f t="shared" si="10"/>
        <v/>
      </c>
      <c r="F68" s="101">
        <f t="shared" si="10"/>
        <v>106.64409194569035</v>
      </c>
      <c r="G68" s="101">
        <f t="shared" si="10"/>
        <v>104.35237629035365</v>
      </c>
      <c r="H68" s="101">
        <f t="shared" si="10"/>
        <v>102.45278137062783</v>
      </c>
      <c r="I68" s="101">
        <f t="shared" si="10"/>
        <v>100.9161741430068</v>
      </c>
      <c r="J68" s="101">
        <f t="shared" si="10"/>
        <v>99.811822424083999</v>
      </c>
      <c r="K68" s="101">
        <f t="shared" si="10"/>
        <v>99.384052205775888</v>
      </c>
      <c r="L68" s="101">
        <f t="shared" si="10"/>
        <v>100</v>
      </c>
    </row>
    <row r="69" spans="1:19" x14ac:dyDescent="0.2">
      <c r="A69" s="76">
        <f t="shared" si="7"/>
        <v>5</v>
      </c>
      <c r="B69" s="101" t="str">
        <f t="shared" ref="B69:L69" si="11">IF(B$62&gt;maturity,"",IF($A69&gt;B$61,"",IF(B$62=maturity,par,(prob*(coupon_per_period+C69)+(1-prob)*(coupon_per_period+C70))/(1+B20/2))))</f>
        <v/>
      </c>
      <c r="C69" s="101" t="str">
        <f t="shared" si="11"/>
        <v/>
      </c>
      <c r="D69" s="101" t="str">
        <f t="shared" si="11"/>
        <v/>
      </c>
      <c r="E69" s="101" t="str">
        <f t="shared" si="11"/>
        <v/>
      </c>
      <c r="F69" s="101" t="str">
        <f t="shared" si="11"/>
        <v/>
      </c>
      <c r="G69" s="101">
        <f t="shared" si="11"/>
        <v>106.57320958350722</v>
      </c>
      <c r="H69" s="101">
        <f t="shared" si="11"/>
        <v>104.49499940307697</v>
      </c>
      <c r="I69" s="101">
        <f t="shared" si="11"/>
        <v>102.68903306787513</v>
      </c>
      <c r="J69" s="101">
        <f t="shared" si="11"/>
        <v>101.20498054796337</v>
      </c>
      <c r="K69" s="101">
        <f t="shared" si="11"/>
        <v>100.22104560475502</v>
      </c>
      <c r="L69" s="101">
        <f t="shared" si="11"/>
        <v>100</v>
      </c>
    </row>
    <row r="70" spans="1:19" x14ac:dyDescent="0.2">
      <c r="A70" s="76">
        <f t="shared" si="7"/>
        <v>6</v>
      </c>
      <c r="B70" s="101" t="str">
        <f t="shared" ref="B70:L70" si="12">IF(B$62&gt;maturity,"",IF($A70&gt;B$61,"",IF(B$62=maturity,par,(prob*(coupon_per_period+C70)+(1-prob)*(coupon_per_period+C71))/(1+B21/2))))</f>
        <v/>
      </c>
      <c r="C70" s="101" t="str">
        <f t="shared" si="12"/>
        <v/>
      </c>
      <c r="D70" s="101" t="str">
        <f t="shared" si="12"/>
        <v/>
      </c>
      <c r="E70" s="101" t="str">
        <f t="shared" si="12"/>
        <v/>
      </c>
      <c r="F70" s="101" t="str">
        <f t="shared" si="12"/>
        <v/>
      </c>
      <c r="G70" s="101" t="str">
        <f t="shared" si="12"/>
        <v/>
      </c>
      <c r="H70" s="101">
        <f t="shared" si="12"/>
        <v>106.03074988270271</v>
      </c>
      <c r="I70" s="101">
        <f t="shared" si="12"/>
        <v>104.01910876036749</v>
      </c>
      <c r="J70" s="101">
        <f t="shared" si="12"/>
        <v>102.24667835181205</v>
      </c>
      <c r="K70" s="101">
        <f t="shared" si="12"/>
        <v>100.8438179022822</v>
      </c>
      <c r="L70" s="101">
        <f t="shared" si="12"/>
        <v>100</v>
      </c>
    </row>
    <row r="71" spans="1:19" x14ac:dyDescent="0.2">
      <c r="A71" s="76">
        <f t="shared" si="7"/>
        <v>7</v>
      </c>
      <c r="B71" s="101" t="str">
        <f t="shared" ref="B71:L71" si="13">IF(B$62&gt;maturity,"",IF($A71&gt;B$61,"",IF(B$62=maturity,par,(prob*(coupon_per_period+C71)+(1-prob)*(coupon_per_period+C72))/(1+B22/2))))</f>
        <v/>
      </c>
      <c r="C71" s="101" t="str">
        <f t="shared" si="13"/>
        <v/>
      </c>
      <c r="D71" s="101" t="str">
        <f t="shared" si="13"/>
        <v/>
      </c>
      <c r="E71" s="101" t="str">
        <f t="shared" si="13"/>
        <v/>
      </c>
      <c r="F71" s="101" t="str">
        <f t="shared" si="13"/>
        <v/>
      </c>
      <c r="G71" s="101" t="str">
        <f t="shared" si="13"/>
        <v/>
      </c>
      <c r="H71" s="101" t="str">
        <f t="shared" si="13"/>
        <v/>
      </c>
      <c r="I71" s="101">
        <f t="shared" si="13"/>
        <v>105.01294193263475</v>
      </c>
      <c r="J71" s="101">
        <f t="shared" si="13"/>
        <v>103.02310192693506</v>
      </c>
      <c r="K71" s="101">
        <f t="shared" si="13"/>
        <v>101.30631531441433</v>
      </c>
      <c r="L71" s="101">
        <f t="shared" si="13"/>
        <v>100</v>
      </c>
    </row>
    <row r="72" spans="1:19" x14ac:dyDescent="0.2">
      <c r="A72" s="76">
        <f t="shared" si="7"/>
        <v>8</v>
      </c>
      <c r="B72" s="101" t="str">
        <f t="shared" ref="B72:L72" si="14">IF(B$62&gt;maturity,"",IF($A72&gt;B$61,"",IF(B$62=maturity,par,(prob*(coupon_per_period+C72)+(1-prob)*(coupon_per_period+C73))/(1+B23/2))))</f>
        <v/>
      </c>
      <c r="C72" s="101" t="str">
        <f t="shared" si="14"/>
        <v/>
      </c>
      <c r="D72" s="101" t="str">
        <f t="shared" si="14"/>
        <v/>
      </c>
      <c r="E72" s="101" t="str">
        <f t="shared" si="14"/>
        <v/>
      </c>
      <c r="F72" s="101" t="str">
        <f t="shared" si="14"/>
        <v/>
      </c>
      <c r="G72" s="101" t="str">
        <f t="shared" si="14"/>
        <v/>
      </c>
      <c r="H72" s="101" t="str">
        <f t="shared" si="14"/>
        <v/>
      </c>
      <c r="I72" s="101" t="str">
        <f t="shared" si="14"/>
        <v/>
      </c>
      <c r="J72" s="101">
        <f t="shared" si="14"/>
        <v>103.60044343968445</v>
      </c>
      <c r="K72" s="101">
        <f t="shared" si="14"/>
        <v>101.64930277184797</v>
      </c>
      <c r="L72" s="101">
        <f t="shared" si="14"/>
        <v>100</v>
      </c>
    </row>
    <row r="73" spans="1:19" x14ac:dyDescent="0.2">
      <c r="A73" s="76">
        <f t="shared" si="7"/>
        <v>9</v>
      </c>
      <c r="B73" s="101" t="str">
        <f t="shared" ref="B73:L73" si="15">IF(B$62&gt;maturity,"",IF($A73&gt;B$61,"",IF(B$62=maturity,par,(prob*(coupon_per_period+C73)+(1-prob)*(coupon_per_period+C74))/(1+B24/2))))</f>
        <v/>
      </c>
      <c r="C73" s="101" t="str">
        <f t="shared" si="15"/>
        <v/>
      </c>
      <c r="D73" s="101" t="str">
        <f t="shared" si="15"/>
        <v/>
      </c>
      <c r="E73" s="101" t="str">
        <f t="shared" si="15"/>
        <v/>
      </c>
      <c r="F73" s="101" t="str">
        <f t="shared" si="15"/>
        <v/>
      </c>
      <c r="G73" s="101" t="str">
        <f t="shared" si="15"/>
        <v/>
      </c>
      <c r="H73" s="101" t="str">
        <f t="shared" si="15"/>
        <v/>
      </c>
      <c r="I73" s="101" t="str">
        <f t="shared" si="15"/>
        <v/>
      </c>
      <c r="J73" s="101" t="str">
        <f t="shared" si="15"/>
        <v/>
      </c>
      <c r="K73" s="101">
        <f t="shared" si="15"/>
        <v>101.9033975609368</v>
      </c>
      <c r="L73" s="101">
        <f t="shared" si="15"/>
        <v>100</v>
      </c>
    </row>
    <row r="74" spans="1:19" x14ac:dyDescent="0.2">
      <c r="A74" s="76">
        <f t="shared" si="7"/>
        <v>10</v>
      </c>
      <c r="B74" s="101" t="str">
        <f t="shared" ref="B74:L74" si="16">IF(B$62&gt;maturity,"",IF($A74&gt;B$61,"",IF(B$62=maturity,par,(prob*(coupon_per_period+C74)+(1-prob)*(coupon_per_period+C75))/(1+B25/2))))</f>
        <v/>
      </c>
      <c r="C74" s="101" t="str">
        <f t="shared" si="16"/>
        <v/>
      </c>
      <c r="D74" s="101" t="str">
        <f t="shared" si="16"/>
        <v/>
      </c>
      <c r="E74" s="101" t="str">
        <f t="shared" si="16"/>
        <v/>
      </c>
      <c r="F74" s="101" t="str">
        <f t="shared" si="16"/>
        <v/>
      </c>
      <c r="G74" s="101" t="str">
        <f t="shared" si="16"/>
        <v/>
      </c>
      <c r="H74" s="101" t="str">
        <f t="shared" si="16"/>
        <v/>
      </c>
      <c r="I74" s="101" t="str">
        <f t="shared" si="16"/>
        <v/>
      </c>
      <c r="J74" s="101" t="str">
        <f t="shared" si="16"/>
        <v/>
      </c>
      <c r="K74" s="101" t="str">
        <f t="shared" si="16"/>
        <v/>
      </c>
      <c r="L74" s="101">
        <f t="shared" si="16"/>
        <v>100</v>
      </c>
    </row>
    <row r="77" spans="1:19" ht="15.75" x14ac:dyDescent="0.2">
      <c r="A77" s="116" t="s">
        <v>166</v>
      </c>
      <c r="B77" s="116"/>
      <c r="C77" s="116"/>
      <c r="D77" s="116"/>
      <c r="E77" s="116"/>
      <c r="F77" s="116"/>
      <c r="G77" s="116"/>
      <c r="H77" s="116"/>
      <c r="I77" s="116"/>
      <c r="J77" s="116"/>
      <c r="K77" s="116"/>
      <c r="L77" s="116"/>
      <c r="M77" s="116"/>
      <c r="N77" s="116"/>
      <c r="O77" s="116"/>
      <c r="P77" s="116"/>
      <c r="Q77" s="116"/>
      <c r="R77" s="116"/>
      <c r="S77" s="116"/>
    </row>
    <row r="79" spans="1:19" x14ac:dyDescent="0.2">
      <c r="A79" s="76" t="s">
        <v>167</v>
      </c>
    </row>
    <row r="80" spans="1:19" x14ac:dyDescent="0.2">
      <c r="A80" s="76" t="s">
        <v>84</v>
      </c>
      <c r="B80" s="76" t="s">
        <v>168</v>
      </c>
      <c r="C80" s="76" t="s">
        <v>169</v>
      </c>
      <c r="D80" s="76" t="s">
        <v>85</v>
      </c>
      <c r="E80" s="76" t="s">
        <v>65</v>
      </c>
    </row>
    <row r="81" spans="1:19" x14ac:dyDescent="0.2">
      <c r="A81" s="76" cm="1">
        <f t="array" ref="A81:A90">_xlfn.ANCHORARRAY(A37)</f>
        <v>1</v>
      </c>
      <c r="B81" s="76" cm="1">
        <f t="array" ref="B81:B90">B37:B46</f>
        <v>0.5</v>
      </c>
      <c r="C81" s="77" cm="1">
        <f t="array" ref="C81:C90">D37:D46</f>
        <v>1.7475909979246751E-2</v>
      </c>
      <c r="D81" s="101">
        <f t="shared" ref="D81:D90" si="17">IF(B81&lt;maturity,coupon_per_period,par+coupon_per_period)</f>
        <v>2.625</v>
      </c>
      <c r="E81" s="101">
        <f>D81/(1+C81/2)^(A81)</f>
        <v>2.6022615556554554</v>
      </c>
    </row>
    <row r="82" spans="1:19" x14ac:dyDescent="0.2">
      <c r="A82" s="76">
        <v>2</v>
      </c>
      <c r="B82" s="76">
        <v>1</v>
      </c>
      <c r="C82" s="77">
        <v>2.1413833739093668E-2</v>
      </c>
      <c r="D82" s="101">
        <f t="shared" si="17"/>
        <v>2.625</v>
      </c>
      <c r="E82" s="101">
        <f t="shared" ref="E82:E90" si="18">D82/(1+C82/2)^(A82)</f>
        <v>2.5696787436126591</v>
      </c>
    </row>
    <row r="83" spans="1:19" x14ac:dyDescent="0.2">
      <c r="A83" s="76">
        <v>3</v>
      </c>
      <c r="B83" s="76">
        <v>1.5</v>
      </c>
      <c r="C83" s="77">
        <v>2.6323733403120109E-2</v>
      </c>
      <c r="D83" s="101">
        <f t="shared" si="17"/>
        <v>2.625</v>
      </c>
      <c r="E83" s="101">
        <f t="shared" si="18"/>
        <v>2.5240200546310483</v>
      </c>
    </row>
    <row r="84" spans="1:19" x14ac:dyDescent="0.2">
      <c r="A84" s="76">
        <v>4</v>
      </c>
      <c r="B84" s="76">
        <v>2</v>
      </c>
      <c r="C84" s="77">
        <v>3.0632212075052401E-2</v>
      </c>
      <c r="D84" s="101">
        <f t="shared" si="17"/>
        <v>2.625</v>
      </c>
      <c r="E84" s="101">
        <f t="shared" si="18"/>
        <v>2.4701550005554984</v>
      </c>
    </row>
    <row r="85" spans="1:19" x14ac:dyDescent="0.2">
      <c r="A85" s="76">
        <v>5</v>
      </c>
      <c r="B85" s="76">
        <v>2.5</v>
      </c>
      <c r="C85" s="77">
        <v>3.4901022799481485E-2</v>
      </c>
      <c r="D85" s="101">
        <f t="shared" si="17"/>
        <v>2.625</v>
      </c>
      <c r="E85" s="101">
        <f t="shared" si="18"/>
        <v>2.4074808190891965</v>
      </c>
    </row>
    <row r="86" spans="1:19" x14ac:dyDescent="0.2">
      <c r="A86" s="76">
        <v>6</v>
      </c>
      <c r="B86" s="76">
        <v>3</v>
      </c>
      <c r="C86" s="77">
        <v>3.8363296952287573E-2</v>
      </c>
      <c r="D86" s="101">
        <f t="shared" si="17"/>
        <v>2.625</v>
      </c>
      <c r="E86" s="101">
        <f t="shared" si="18"/>
        <v>2.3421771361391537</v>
      </c>
    </row>
    <row r="87" spans="1:19" x14ac:dyDescent="0.2">
      <c r="A87" s="76">
        <v>7</v>
      </c>
      <c r="B87" s="76">
        <v>3.5</v>
      </c>
      <c r="C87" s="77">
        <v>4.0810800671487346E-2</v>
      </c>
      <c r="D87" s="101">
        <f t="shared" si="17"/>
        <v>2.625</v>
      </c>
      <c r="E87" s="101">
        <f t="shared" si="18"/>
        <v>2.2788727174843126</v>
      </c>
    </row>
    <row r="88" spans="1:19" x14ac:dyDescent="0.2">
      <c r="A88" s="76">
        <v>8</v>
      </c>
      <c r="B88" s="76">
        <v>4</v>
      </c>
      <c r="C88" s="77">
        <v>4.2546227185723318E-2</v>
      </c>
      <c r="D88" s="101">
        <f t="shared" si="17"/>
        <v>2.625</v>
      </c>
      <c r="E88" s="101">
        <f t="shared" si="18"/>
        <v>2.2181663793852278</v>
      </c>
    </row>
    <row r="89" spans="1:19" x14ac:dyDescent="0.2">
      <c r="A89" s="76">
        <v>9</v>
      </c>
      <c r="B89" s="76">
        <v>4.5</v>
      </c>
      <c r="C89" s="77">
        <v>4.4078711677882687E-2</v>
      </c>
      <c r="D89" s="101">
        <f t="shared" si="17"/>
        <v>2.625</v>
      </c>
      <c r="E89" s="101">
        <f t="shared" si="18"/>
        <v>2.1573506088031889</v>
      </c>
    </row>
    <row r="90" spans="1:19" x14ac:dyDescent="0.2">
      <c r="A90" s="76">
        <v>10</v>
      </c>
      <c r="B90" s="76">
        <v>5</v>
      </c>
      <c r="C90" s="77">
        <v>4.5714629446547139E-2</v>
      </c>
      <c r="D90" s="101">
        <f t="shared" si="17"/>
        <v>102.625</v>
      </c>
      <c r="E90" s="101">
        <f t="shared" si="18"/>
        <v>81.865820230288634</v>
      </c>
    </row>
    <row r="92" spans="1:19" x14ac:dyDescent="0.2">
      <c r="D92" s="76" t="s">
        <v>170</v>
      </c>
      <c r="E92" s="101">
        <f>SUM(E81:E90)</f>
        <v>103.43598324564437</v>
      </c>
    </row>
    <row r="93" spans="1:19" x14ac:dyDescent="0.2">
      <c r="C93" s="94"/>
      <c r="D93" s="94" t="s">
        <v>34</v>
      </c>
      <c r="E93" s="98">
        <f>B64-E92</f>
        <v>0</v>
      </c>
    </row>
    <row r="96" spans="1:19" ht="15.75" x14ac:dyDescent="0.2">
      <c r="A96" s="116" t="s">
        <v>171</v>
      </c>
      <c r="B96" s="116"/>
      <c r="C96" s="116"/>
      <c r="D96" s="116"/>
      <c r="E96" s="116"/>
      <c r="F96" s="116"/>
      <c r="G96" s="116"/>
      <c r="H96" s="116"/>
      <c r="I96" s="116"/>
      <c r="J96" s="116"/>
      <c r="K96" s="116"/>
      <c r="L96" s="116"/>
      <c r="M96" s="116"/>
      <c r="N96" s="116"/>
      <c r="O96" s="116"/>
      <c r="P96" s="116"/>
      <c r="Q96" s="116"/>
      <c r="R96" s="116"/>
      <c r="S96" s="116"/>
    </row>
    <row r="97" spans="1:19" ht="15.75" x14ac:dyDescent="0.2">
      <c r="A97" s="116" t="s">
        <v>172</v>
      </c>
      <c r="B97" s="116"/>
      <c r="C97" s="116"/>
      <c r="D97" s="116"/>
      <c r="E97" s="116"/>
      <c r="F97" s="116"/>
      <c r="G97" s="116"/>
      <c r="H97" s="116"/>
      <c r="I97" s="116"/>
      <c r="J97" s="116"/>
      <c r="K97" s="116"/>
      <c r="L97" s="116"/>
      <c r="M97" s="116"/>
      <c r="N97" s="116"/>
      <c r="O97" s="116"/>
      <c r="P97" s="116"/>
      <c r="Q97" s="116"/>
      <c r="R97" s="116"/>
      <c r="S97" s="116"/>
    </row>
    <row r="99" spans="1:19" x14ac:dyDescent="0.2">
      <c r="A99" s="122" t="s">
        <v>173</v>
      </c>
      <c r="B99" s="122"/>
      <c r="C99" s="75">
        <f>par</f>
        <v>100</v>
      </c>
    </row>
    <row r="100" spans="1:19" x14ac:dyDescent="0.2">
      <c r="A100" s="122" t="s">
        <v>191</v>
      </c>
      <c r="B100" s="122"/>
      <c r="C100" s="75">
        <v>1</v>
      </c>
    </row>
    <row r="101" spans="1:19" ht="15.75" x14ac:dyDescent="0.25">
      <c r="B101" s="78" t="s">
        <v>153</v>
      </c>
    </row>
    <row r="102" spans="1:19" ht="15.75" x14ac:dyDescent="0.25">
      <c r="A102" s="78" t="s">
        <v>84</v>
      </c>
      <c r="B102" s="76">
        <v>0</v>
      </c>
      <c r="C102" s="76">
        <f>B102+1</f>
        <v>1</v>
      </c>
      <c r="D102" s="76">
        <f t="shared" ref="D102" si="19">C102+1</f>
        <v>2</v>
      </c>
      <c r="E102" s="76">
        <f t="shared" ref="E102" si="20">D102+1</f>
        <v>3</v>
      </c>
      <c r="F102" s="76">
        <f t="shared" ref="F102" si="21">E102+1</f>
        <v>4</v>
      </c>
      <c r="G102" s="76">
        <f t="shared" ref="G102" si="22">F102+1</f>
        <v>5</v>
      </c>
      <c r="H102" s="76">
        <f t="shared" ref="H102" si="23">G102+1</f>
        <v>6</v>
      </c>
      <c r="I102" s="76">
        <f t="shared" ref="I102" si="24">H102+1</f>
        <v>7</v>
      </c>
      <c r="J102" s="76">
        <f t="shared" ref="J102" si="25">I102+1</f>
        <v>8</v>
      </c>
      <c r="K102" s="76">
        <f t="shared" ref="K102" si="26">J102+1</f>
        <v>9</v>
      </c>
      <c r="L102" s="76">
        <f t="shared" ref="L102" si="27">K102+1</f>
        <v>10</v>
      </c>
    </row>
    <row r="103" spans="1:19" ht="15.75" x14ac:dyDescent="0.25">
      <c r="A103" s="78" t="s">
        <v>163</v>
      </c>
      <c r="B103" s="76">
        <f>B102*$B$9</f>
        <v>0</v>
      </c>
      <c r="C103" s="76">
        <f t="shared" ref="C103" si="28">C102*$B$9</f>
        <v>0.5</v>
      </c>
      <c r="D103" s="76">
        <f t="shared" ref="D103" si="29">D102*$B$9</f>
        <v>1</v>
      </c>
      <c r="E103" s="76">
        <f t="shared" ref="E103" si="30">E102*$B$9</f>
        <v>1.5</v>
      </c>
      <c r="F103" s="76">
        <f t="shared" ref="F103" si="31">F102*$B$9</f>
        <v>2</v>
      </c>
      <c r="G103" s="76">
        <f t="shared" ref="G103" si="32">G102*$B$9</f>
        <v>2.5</v>
      </c>
      <c r="H103" s="76">
        <f t="shared" ref="H103" si="33">H102*$B$9</f>
        <v>3</v>
      </c>
      <c r="I103" s="76">
        <f t="shared" ref="I103" si="34">I102*$B$9</f>
        <v>3.5</v>
      </c>
      <c r="J103" s="76">
        <f t="shared" ref="J103" si="35">J102*$B$9</f>
        <v>4</v>
      </c>
      <c r="K103" s="76">
        <f t="shared" ref="K103" si="36">K102*$B$9</f>
        <v>4.5</v>
      </c>
      <c r="L103" s="76">
        <f t="shared" ref="L103" si="37">L102*$B$9</f>
        <v>5</v>
      </c>
    </row>
    <row r="105" spans="1:19" x14ac:dyDescent="0.2">
      <c r="A105" s="76">
        <v>0</v>
      </c>
      <c r="B105" s="108">
        <f>IF(B$103&gt;maturity,"",IF($A105&gt;B$102,"",IF(B$103&gt;=call_limit,IF(B$103=maturity,par,MIN(call_price,(prob*(coupon_per_period+C105)+(1-prob)*(coupon_per_period+C106))/(1+B15/2))),(prob*(coupon_per_period+C105)+(1-prob)*(coupon_per_period+C106))/(1+B15/2))))</f>
        <v>101.31031523514359</v>
      </c>
      <c r="C105" s="109">
        <f t="shared" ref="C105:K105" si="38">IF(C$103&gt;maturity,"",IF($A105&gt;C$102,"",IF(C$103&gt;=call_limit,IF(C$103=maturity,par,MIN(call_price,(prob*(coupon_per_period+D105)+(1-prob)*(coupon_per_period+D106))/(1+C15/2))),(prob*(coupon_per_period+D105)+(1-prob)*(coupon_per_period+D106))/(1+C15/2))))</f>
        <v>97.953673240696247</v>
      </c>
      <c r="D105" s="109">
        <f t="shared" si="38"/>
        <v>94.214429792477802</v>
      </c>
      <c r="E105" s="109">
        <f t="shared" si="38"/>
        <v>90.835267887317855</v>
      </c>
      <c r="F105" s="109">
        <f t="shared" si="38"/>
        <v>88.073936191347585</v>
      </c>
      <c r="G105" s="109">
        <f t="shared" si="38"/>
        <v>86.390926743196175</v>
      </c>
      <c r="H105" s="109">
        <f t="shared" si="38"/>
        <v>85.799915060553616</v>
      </c>
      <c r="I105" s="109">
        <f t="shared" si="38"/>
        <v>86.269780789550865</v>
      </c>
      <c r="J105" s="109">
        <f t="shared" si="38"/>
        <v>88.082444266159911</v>
      </c>
      <c r="K105" s="109">
        <f t="shared" si="38"/>
        <v>92.137834199845187</v>
      </c>
      <c r="L105" s="109">
        <f>IF(L$103&gt;maturity,"",IF($A105&gt;L$102,"",IF(L$103&gt;=call_limit,IF(L$103=maturity,par,MIN(call_price,(prob*(coupon_per_period+M105)+(1-prob)*(coupon_per_period+M106))/(1+L15/2))),(prob*(coupon_per_period+M105)+(1-prob)*(coupon_per_period+M106))/(1+L15/2))))</f>
        <v>100</v>
      </c>
    </row>
    <row r="106" spans="1:19" x14ac:dyDescent="0.2">
      <c r="A106" s="76">
        <f>A105+1</f>
        <v>1</v>
      </c>
      <c r="B106" s="109" t="str">
        <f t="shared" ref="B106:L106" si="39">IF(B$103&gt;maturity,"",IF($A106&gt;B$102,"",IF(B$103&gt;=call_limit,IF(B$103=maturity,par,MIN(call_price,(prob*(coupon_per_period+C106)+(1-prob)*(coupon_per_period+C107))/(1+B16/2))),(prob*(coupon_per_period+C106)+(1-prob)*(coupon_per_period+C107))/(1+B16/2))))</f>
        <v/>
      </c>
      <c r="C106" s="109">
        <f t="shared" si="39"/>
        <v>101.1874471786094</v>
      </c>
      <c r="D106" s="109">
        <f t="shared" si="39"/>
        <v>99.303479957658226</v>
      </c>
      <c r="E106" s="109">
        <f t="shared" si="39"/>
        <v>96.870266043023932</v>
      </c>
      <c r="F106" s="109">
        <f t="shared" si="39"/>
        <v>94.422239734468789</v>
      </c>
      <c r="G106" s="109">
        <f t="shared" si="39"/>
        <v>92.646000525623691</v>
      </c>
      <c r="H106" s="109">
        <f t="shared" si="39"/>
        <v>91.639255694748599</v>
      </c>
      <c r="I106" s="109">
        <f t="shared" si="39"/>
        <v>91.445938873327307</v>
      </c>
      <c r="J106" s="109">
        <f t="shared" si="39"/>
        <v>92.274647818424498</v>
      </c>
      <c r="K106" s="109">
        <f t="shared" si="39"/>
        <v>94.770444639593251</v>
      </c>
      <c r="L106" s="109">
        <f t="shared" si="39"/>
        <v>100</v>
      </c>
    </row>
    <row r="107" spans="1:19" x14ac:dyDescent="0.2">
      <c r="A107" s="76">
        <f t="shared" ref="A107:A115" si="40">A106+1</f>
        <v>2</v>
      </c>
      <c r="B107" s="109" t="str">
        <f t="shared" ref="B107:L107" si="41">IF(B$103&gt;maturity,"",IF($A107&gt;B$102,"",IF(B$103&gt;=call_limit,IF(B$103=maturity,par,MIN(call_price,(prob*(coupon_per_period+C107)+(1-prob)*(coupon_per_period+C108))/(1+B17/2))),(prob*(coupon_per_period+C107)+(1-prob)*(coupon_per_period+C108))/(1+B17/2))))</f>
        <v/>
      </c>
      <c r="C107" s="109" t="str">
        <f t="shared" si="41"/>
        <v/>
      </c>
      <c r="D107" s="109">
        <f t="shared" si="41"/>
        <v>100</v>
      </c>
      <c r="E107" s="109">
        <f t="shared" si="41"/>
        <v>100</v>
      </c>
      <c r="F107" s="109">
        <f t="shared" si="41"/>
        <v>98.833631460317946</v>
      </c>
      <c r="G107" s="109">
        <f t="shared" si="41"/>
        <v>97.355589436580701</v>
      </c>
      <c r="H107" s="109">
        <f t="shared" si="41"/>
        <v>96.193264526461761</v>
      </c>
      <c r="I107" s="109">
        <f t="shared" si="41"/>
        <v>95.473892554189632</v>
      </c>
      <c r="J107" s="109">
        <f t="shared" si="41"/>
        <v>95.500599525627081</v>
      </c>
      <c r="K107" s="109">
        <f t="shared" si="41"/>
        <v>96.763217341562211</v>
      </c>
      <c r="L107" s="109">
        <f t="shared" si="41"/>
        <v>100</v>
      </c>
    </row>
    <row r="108" spans="1:19" x14ac:dyDescent="0.2">
      <c r="A108" s="76">
        <f t="shared" si="40"/>
        <v>3</v>
      </c>
      <c r="B108" s="109" t="str">
        <f t="shared" ref="B108:L108" si="42">IF(B$103&gt;maturity,"",IF($A108&gt;B$102,"",IF(B$103&gt;=call_limit,IF(B$103=maturity,par,MIN(call_price,(prob*(coupon_per_period+C108)+(1-prob)*(coupon_per_period+C109))/(1+B18/2))),(prob*(coupon_per_period+C108)+(1-prob)*(coupon_per_period+C109))/(1+B18/2))))</f>
        <v/>
      </c>
      <c r="C108" s="109" t="str">
        <f t="shared" si="42"/>
        <v/>
      </c>
      <c r="D108" s="109" t="str">
        <f t="shared" si="42"/>
        <v/>
      </c>
      <c r="E108" s="109">
        <f t="shared" si="42"/>
        <v>100</v>
      </c>
      <c r="F108" s="109">
        <f t="shared" si="42"/>
        <v>100</v>
      </c>
      <c r="G108" s="109">
        <f t="shared" si="42"/>
        <v>99.993770083178049</v>
      </c>
      <c r="H108" s="109">
        <f t="shared" si="42"/>
        <v>99.282295716438242</v>
      </c>
      <c r="I108" s="109">
        <f t="shared" si="42"/>
        <v>98.513795229376697</v>
      </c>
      <c r="J108" s="109">
        <f t="shared" si="42"/>
        <v>97.956643971988882</v>
      </c>
      <c r="K108" s="109">
        <f t="shared" si="42"/>
        <v>98.262046696520571</v>
      </c>
      <c r="L108" s="109">
        <f t="shared" si="42"/>
        <v>100</v>
      </c>
    </row>
    <row r="109" spans="1:19" x14ac:dyDescent="0.2">
      <c r="A109" s="76">
        <f t="shared" si="40"/>
        <v>4</v>
      </c>
      <c r="B109" s="109" t="str">
        <f t="shared" ref="B109:L109" si="43">IF(B$103&gt;maturity,"",IF($A109&gt;B$102,"",IF(B$103&gt;=call_limit,IF(B$103=maturity,par,MIN(call_price,(prob*(coupon_per_period+C109)+(1-prob)*(coupon_per_period+C110))/(1+B19/2))),(prob*(coupon_per_period+C109)+(1-prob)*(coupon_per_period+C110))/(1+B19/2))))</f>
        <v/>
      </c>
      <c r="C109" s="109" t="str">
        <f t="shared" si="43"/>
        <v/>
      </c>
      <c r="D109" s="109" t="str">
        <f t="shared" si="43"/>
        <v/>
      </c>
      <c r="E109" s="109" t="str">
        <f t="shared" si="43"/>
        <v/>
      </c>
      <c r="F109" s="109">
        <f t="shared" si="43"/>
        <v>100</v>
      </c>
      <c r="G109" s="109">
        <f t="shared" si="43"/>
        <v>100</v>
      </c>
      <c r="H109" s="109">
        <f t="shared" si="43"/>
        <v>100</v>
      </c>
      <c r="I109" s="109">
        <f t="shared" si="43"/>
        <v>100</v>
      </c>
      <c r="J109" s="109">
        <f t="shared" si="43"/>
        <v>99.704122079375779</v>
      </c>
      <c r="K109" s="109">
        <f t="shared" si="43"/>
        <v>99.384052205775888</v>
      </c>
      <c r="L109" s="109">
        <f t="shared" si="43"/>
        <v>100</v>
      </c>
      <c r="O109" s="102"/>
    </row>
    <row r="110" spans="1:19" x14ac:dyDescent="0.2">
      <c r="A110" s="76">
        <f t="shared" si="40"/>
        <v>5</v>
      </c>
      <c r="B110" s="109" t="str">
        <f t="shared" ref="B110:L110" si="44">IF(B$103&gt;maturity,"",IF($A110&gt;B$102,"",IF(B$103&gt;=call_limit,IF(B$103=maturity,par,MIN(call_price,(prob*(coupon_per_period+C110)+(1-prob)*(coupon_per_period+C111))/(1+B20/2))),(prob*(coupon_per_period+C110)+(1-prob)*(coupon_per_period+C111))/(1+B20/2))))</f>
        <v/>
      </c>
      <c r="C110" s="109" t="str">
        <f t="shared" si="44"/>
        <v/>
      </c>
      <c r="D110" s="109" t="str">
        <f t="shared" si="44"/>
        <v/>
      </c>
      <c r="E110" s="109" t="str">
        <f t="shared" si="44"/>
        <v/>
      </c>
      <c r="F110" s="109" t="str">
        <f t="shared" si="44"/>
        <v/>
      </c>
      <c r="G110" s="109">
        <f t="shared" si="44"/>
        <v>100</v>
      </c>
      <c r="H110" s="109">
        <f t="shared" si="44"/>
        <v>100</v>
      </c>
      <c r="I110" s="109">
        <f t="shared" si="44"/>
        <v>100</v>
      </c>
      <c r="J110" s="109">
        <f t="shared" si="44"/>
        <v>100</v>
      </c>
      <c r="K110" s="109">
        <f t="shared" si="44"/>
        <v>100</v>
      </c>
      <c r="L110" s="109">
        <f t="shared" si="44"/>
        <v>100</v>
      </c>
    </row>
    <row r="111" spans="1:19" x14ac:dyDescent="0.2">
      <c r="A111" s="76">
        <f t="shared" si="40"/>
        <v>6</v>
      </c>
      <c r="B111" s="109" t="str">
        <f t="shared" ref="B111:L111" si="45">IF(B$103&gt;maturity,"",IF($A111&gt;B$102,"",IF(B$103&gt;=call_limit,IF(B$103=maturity,par,MIN(call_price,(prob*(coupon_per_period+C111)+(1-prob)*(coupon_per_period+C112))/(1+B21/2))),(prob*(coupon_per_period+C111)+(1-prob)*(coupon_per_period+C112))/(1+B21/2))))</f>
        <v/>
      </c>
      <c r="C111" s="109" t="str">
        <f t="shared" si="45"/>
        <v/>
      </c>
      <c r="D111" s="109" t="str">
        <f t="shared" si="45"/>
        <v/>
      </c>
      <c r="E111" s="109" t="str">
        <f t="shared" si="45"/>
        <v/>
      </c>
      <c r="F111" s="109" t="str">
        <f t="shared" si="45"/>
        <v/>
      </c>
      <c r="G111" s="109" t="str">
        <f t="shared" si="45"/>
        <v/>
      </c>
      <c r="H111" s="109">
        <f t="shared" si="45"/>
        <v>100</v>
      </c>
      <c r="I111" s="109">
        <f t="shared" si="45"/>
        <v>100</v>
      </c>
      <c r="J111" s="109">
        <f t="shared" si="45"/>
        <v>100</v>
      </c>
      <c r="K111" s="109">
        <f t="shared" si="45"/>
        <v>100</v>
      </c>
      <c r="L111" s="109">
        <f t="shared" si="45"/>
        <v>100</v>
      </c>
    </row>
    <row r="112" spans="1:19" x14ac:dyDescent="0.2">
      <c r="A112" s="76">
        <f t="shared" si="40"/>
        <v>7</v>
      </c>
      <c r="B112" s="109" t="str">
        <f t="shared" ref="B112:L112" si="46">IF(B$103&gt;maturity,"",IF($A112&gt;B$102,"",IF(B$103&gt;=call_limit,IF(B$103=maturity,par,MIN(call_price,(prob*(coupon_per_period+C112)+(1-prob)*(coupon_per_period+C113))/(1+B22/2))),(prob*(coupon_per_period+C112)+(1-prob)*(coupon_per_period+C113))/(1+B22/2))))</f>
        <v/>
      </c>
      <c r="C112" s="109" t="str">
        <f t="shared" si="46"/>
        <v/>
      </c>
      <c r="D112" s="109" t="str">
        <f t="shared" si="46"/>
        <v/>
      </c>
      <c r="E112" s="109" t="str">
        <f t="shared" si="46"/>
        <v/>
      </c>
      <c r="F112" s="109" t="str">
        <f t="shared" si="46"/>
        <v/>
      </c>
      <c r="G112" s="109" t="str">
        <f t="shared" si="46"/>
        <v/>
      </c>
      <c r="H112" s="109" t="str">
        <f t="shared" si="46"/>
        <v/>
      </c>
      <c r="I112" s="109">
        <f t="shared" si="46"/>
        <v>100</v>
      </c>
      <c r="J112" s="109">
        <f t="shared" si="46"/>
        <v>100</v>
      </c>
      <c r="K112" s="109">
        <f t="shared" si="46"/>
        <v>100</v>
      </c>
      <c r="L112" s="109">
        <f t="shared" si="46"/>
        <v>100</v>
      </c>
    </row>
    <row r="113" spans="1:19" x14ac:dyDescent="0.2">
      <c r="A113" s="76">
        <f t="shared" si="40"/>
        <v>8</v>
      </c>
      <c r="B113" s="109" t="str">
        <f t="shared" ref="B113:L113" si="47">IF(B$103&gt;maturity,"",IF($A113&gt;B$102,"",IF(B$103&gt;=call_limit,IF(B$103=maturity,par,MIN(call_price,(prob*(coupon_per_period+C113)+(1-prob)*(coupon_per_period+C114))/(1+B23/2))),(prob*(coupon_per_period+C113)+(1-prob)*(coupon_per_period+C114))/(1+B23/2))))</f>
        <v/>
      </c>
      <c r="C113" s="109" t="str">
        <f t="shared" si="47"/>
        <v/>
      </c>
      <c r="D113" s="109" t="str">
        <f t="shared" si="47"/>
        <v/>
      </c>
      <c r="E113" s="109" t="str">
        <f t="shared" si="47"/>
        <v/>
      </c>
      <c r="F113" s="109" t="str">
        <f t="shared" si="47"/>
        <v/>
      </c>
      <c r="G113" s="109" t="str">
        <f t="shared" si="47"/>
        <v/>
      </c>
      <c r="H113" s="109" t="str">
        <f t="shared" si="47"/>
        <v/>
      </c>
      <c r="I113" s="109" t="str">
        <f t="shared" si="47"/>
        <v/>
      </c>
      <c r="J113" s="109">
        <f t="shared" si="47"/>
        <v>100</v>
      </c>
      <c r="K113" s="109">
        <f t="shared" si="47"/>
        <v>100</v>
      </c>
      <c r="L113" s="109">
        <f t="shared" si="47"/>
        <v>100</v>
      </c>
    </row>
    <row r="114" spans="1:19" x14ac:dyDescent="0.2">
      <c r="A114" s="76">
        <f t="shared" si="40"/>
        <v>9</v>
      </c>
      <c r="B114" s="109" t="str">
        <f t="shared" ref="B114:L114" si="48">IF(B$103&gt;maturity,"",IF($A114&gt;B$102,"",IF(B$103&gt;=call_limit,IF(B$103=maturity,par,MIN(call_price,(prob*(coupon_per_period+C114)+(1-prob)*(coupon_per_period+C115))/(1+B24/2))),(prob*(coupon_per_period+C114)+(1-prob)*(coupon_per_period+C115))/(1+B24/2))))</f>
        <v/>
      </c>
      <c r="C114" s="109" t="str">
        <f t="shared" si="48"/>
        <v/>
      </c>
      <c r="D114" s="109" t="str">
        <f t="shared" si="48"/>
        <v/>
      </c>
      <c r="E114" s="109" t="str">
        <f t="shared" si="48"/>
        <v/>
      </c>
      <c r="F114" s="109" t="str">
        <f t="shared" si="48"/>
        <v/>
      </c>
      <c r="G114" s="109" t="str">
        <f t="shared" si="48"/>
        <v/>
      </c>
      <c r="H114" s="109" t="str">
        <f t="shared" si="48"/>
        <v/>
      </c>
      <c r="I114" s="109" t="str">
        <f t="shared" si="48"/>
        <v/>
      </c>
      <c r="J114" s="109" t="str">
        <f t="shared" si="48"/>
        <v/>
      </c>
      <c r="K114" s="109">
        <f t="shared" si="48"/>
        <v>100</v>
      </c>
      <c r="L114" s="109">
        <f t="shared" si="48"/>
        <v>100</v>
      </c>
    </row>
    <row r="115" spans="1:19" x14ac:dyDescent="0.2">
      <c r="A115" s="76">
        <f t="shared" si="40"/>
        <v>10</v>
      </c>
      <c r="B115" s="109" t="str">
        <f t="shared" ref="B115:L115" si="49">IF(B$103&gt;maturity,"",IF($A115&gt;B$102,"",IF(B$103&gt;=call_limit,IF(B$103=maturity,par,MIN(call_price,(prob*(coupon_per_period+C115)+(1-prob)*(coupon_per_period+C116))/(1+B25/2))),(prob*(coupon_per_period+C115)+(1-prob)*(coupon_per_period+C116))/(1+B25/2))))</f>
        <v/>
      </c>
      <c r="C115" s="109" t="str">
        <f t="shared" si="49"/>
        <v/>
      </c>
      <c r="D115" s="109" t="str">
        <f t="shared" si="49"/>
        <v/>
      </c>
      <c r="E115" s="109" t="str">
        <f t="shared" si="49"/>
        <v/>
      </c>
      <c r="F115" s="109" t="str">
        <f t="shared" si="49"/>
        <v/>
      </c>
      <c r="G115" s="109" t="str">
        <f t="shared" si="49"/>
        <v/>
      </c>
      <c r="H115" s="109" t="str">
        <f t="shared" si="49"/>
        <v/>
      </c>
      <c r="I115" s="109" t="str">
        <f t="shared" si="49"/>
        <v/>
      </c>
      <c r="J115" s="109" t="str">
        <f t="shared" si="49"/>
        <v/>
      </c>
      <c r="K115" s="109" t="str">
        <f t="shared" si="49"/>
        <v/>
      </c>
      <c r="L115" s="109">
        <f t="shared" si="49"/>
        <v>100</v>
      </c>
    </row>
    <row r="118" spans="1:19" ht="15.75" x14ac:dyDescent="0.2">
      <c r="A118" s="116" t="s">
        <v>174</v>
      </c>
      <c r="B118" s="116"/>
      <c r="C118" s="116"/>
      <c r="D118" s="116"/>
      <c r="E118" s="116"/>
      <c r="F118" s="116"/>
      <c r="G118" s="116"/>
      <c r="H118" s="116"/>
      <c r="I118" s="116"/>
      <c r="J118" s="116"/>
      <c r="K118" s="116"/>
      <c r="L118" s="116"/>
      <c r="M118" s="116"/>
      <c r="N118" s="116"/>
      <c r="O118" s="116"/>
      <c r="P118" s="116"/>
      <c r="Q118" s="116"/>
      <c r="R118" s="116"/>
      <c r="S118" s="116"/>
    </row>
    <row r="119" spans="1:19" ht="15.75" x14ac:dyDescent="0.2">
      <c r="A119" s="116" t="s">
        <v>175</v>
      </c>
      <c r="B119" s="116"/>
      <c r="C119" s="116"/>
      <c r="D119" s="116"/>
      <c r="E119" s="116"/>
      <c r="F119" s="116"/>
      <c r="G119" s="116"/>
      <c r="H119" s="116"/>
      <c r="I119" s="116"/>
      <c r="J119" s="116"/>
      <c r="K119" s="116"/>
      <c r="L119" s="116"/>
      <c r="M119" s="116"/>
      <c r="N119" s="116"/>
      <c r="O119" s="116"/>
      <c r="P119" s="116"/>
      <c r="Q119" s="116"/>
      <c r="R119" s="116"/>
      <c r="S119" s="116"/>
    </row>
    <row r="121" spans="1:19" ht="15.75" x14ac:dyDescent="0.25">
      <c r="A121" s="122" t="s">
        <v>176</v>
      </c>
      <c r="B121" s="122"/>
      <c r="C121" s="110">
        <f>B64</f>
        <v>103.43598324564438</v>
      </c>
    </row>
    <row r="122" spans="1:19" x14ac:dyDescent="0.2">
      <c r="A122" s="122" t="s">
        <v>177</v>
      </c>
      <c r="B122" s="122"/>
      <c r="C122" s="104">
        <f>C121*(1-5%)</f>
        <v>98.264184083362153</v>
      </c>
    </row>
    <row r="123" spans="1:19" x14ac:dyDescent="0.2">
      <c r="A123" s="122" t="s">
        <v>164</v>
      </c>
      <c r="B123" s="122"/>
      <c r="C123" s="75">
        <v>1</v>
      </c>
    </row>
    <row r="124" spans="1:19" x14ac:dyDescent="0.2">
      <c r="A124" s="122" t="s">
        <v>179</v>
      </c>
      <c r="B124" s="122"/>
      <c r="C124" s="75">
        <v>0.5</v>
      </c>
    </row>
    <row r="126" spans="1:19" ht="15.75" x14ac:dyDescent="0.25">
      <c r="A126" s="78" t="s">
        <v>181</v>
      </c>
    </row>
    <row r="128" spans="1:19" ht="15.75" x14ac:dyDescent="0.25">
      <c r="B128" s="78" t="s">
        <v>153</v>
      </c>
    </row>
    <row r="129" spans="1:4" ht="15.75" x14ac:dyDescent="0.25">
      <c r="A129" s="78" t="s">
        <v>84</v>
      </c>
      <c r="B129" s="76">
        <v>0</v>
      </c>
      <c r="C129" s="76">
        <f>B129+1</f>
        <v>1</v>
      </c>
      <c r="D129" s="76">
        <f t="shared" ref="D129" si="50">C129+1</f>
        <v>2</v>
      </c>
    </row>
    <row r="130" spans="1:4" ht="15.75" x14ac:dyDescent="0.25">
      <c r="A130" s="78" t="s">
        <v>163</v>
      </c>
      <c r="B130" s="76">
        <f>B129*$B$9</f>
        <v>0</v>
      </c>
      <c r="C130" s="76">
        <f t="shared" ref="C130" si="51">C129*$B$9</f>
        <v>0.5</v>
      </c>
      <c r="D130" s="76">
        <f t="shared" ref="D130" si="52">D129*$B$9</f>
        <v>1</v>
      </c>
    </row>
    <row r="132" spans="1:4" ht="15.75" x14ac:dyDescent="0.25">
      <c r="A132" s="78" t="s">
        <v>182</v>
      </c>
      <c r="B132" s="96">
        <f>(C132*prob+C133*(1-prob))/(1+B15/2)</f>
        <v>2.9980066883051819</v>
      </c>
      <c r="C132" s="95">
        <f>(D132*prob+D133*(1-prob))/(1+C15/2)</f>
        <v>1.2039522000148675</v>
      </c>
      <c r="D132" s="95">
        <f>MAX(D64-$C$122,0)</f>
        <v>0</v>
      </c>
    </row>
    <row r="133" spans="1:4" x14ac:dyDescent="0.2">
      <c r="B133" s="95"/>
      <c r="C133" s="95">
        <f>(D133*prob+D134*(1-prob))/(1+C16/2)</f>
        <v>4.8444540715974966</v>
      </c>
      <c r="D133" s="95">
        <f>MAX(D65-$C$122,0)</f>
        <v>2.4430636883621162</v>
      </c>
    </row>
    <row r="134" spans="1:4" x14ac:dyDescent="0.2">
      <c r="B134" s="95"/>
      <c r="C134" s="95"/>
      <c r="D134" s="95">
        <f>MAX(D66-$C$122,0)</f>
        <v>7.3501465019409835</v>
      </c>
    </row>
    <row r="135" spans="1:4" x14ac:dyDescent="0.2">
      <c r="B135" s="95"/>
      <c r="C135" s="95"/>
      <c r="D135" s="95"/>
    </row>
    <row r="136" spans="1:4" ht="15.75" x14ac:dyDescent="0.25">
      <c r="A136" s="78" t="s">
        <v>183</v>
      </c>
      <c r="B136" s="96">
        <f>(C136*prob+C137*(1-prob))/(1+B15/2)</f>
        <v>2.9980066883817926</v>
      </c>
      <c r="C136" s="95">
        <f>(D136*prob+D137*(1-prob))/(1+C15/2)</f>
        <v>5.0546535288152459</v>
      </c>
      <c r="D136" s="95">
        <f>MAX($C$142-D64,0)</f>
        <v>8.2480180700522538</v>
      </c>
    </row>
    <row r="137" spans="1:4" x14ac:dyDescent="0.2">
      <c r="B137" s="95"/>
      <c r="C137" s="95">
        <f>(D137*prob+D138*(1-prob))/(1+C16/2)</f>
        <v>0.99375274295167992</v>
      </c>
      <c r="D137" s="95">
        <f>MAX($C$142-D65,0)</f>
        <v>2.0089011775287275</v>
      </c>
    </row>
    <row r="138" spans="1:4" x14ac:dyDescent="0.2">
      <c r="D138" s="95">
        <f>MAX($C$142-D66,0)</f>
        <v>0</v>
      </c>
    </row>
    <row r="139" spans="1:4" x14ac:dyDescent="0.2">
      <c r="A139" s="94" t="s">
        <v>34</v>
      </c>
      <c r="B139" s="99">
        <f>B132-B136</f>
        <v>-7.6610717769654002E-11</v>
      </c>
      <c r="D139" s="95"/>
    </row>
    <row r="140" spans="1:4" x14ac:dyDescent="0.2">
      <c r="C140" s="95"/>
      <c r="D140" s="95"/>
    </row>
    <row r="141" spans="1:4" x14ac:dyDescent="0.2">
      <c r="C141" s="95"/>
    </row>
    <row r="142" spans="1:4" x14ac:dyDescent="0.2">
      <c r="A142" s="118" t="s">
        <v>178</v>
      </c>
      <c r="B142" s="118"/>
      <c r="C142" s="107">
        <v>102.716148949253</v>
      </c>
    </row>
  </sheetData>
  <mergeCells count="28">
    <mergeCell ref="A52:S52"/>
    <mergeCell ref="A54:B54"/>
    <mergeCell ref="A55:B55"/>
    <mergeCell ref="A56:B56"/>
    <mergeCell ref="A28:S28"/>
    <mergeCell ref="A7:S7"/>
    <mergeCell ref="A30:I30"/>
    <mergeCell ref="A49:S49"/>
    <mergeCell ref="A50:S50"/>
    <mergeCell ref="A1:M1"/>
    <mergeCell ref="A2:M2"/>
    <mergeCell ref="A3:M3"/>
    <mergeCell ref="A4:M4"/>
    <mergeCell ref="A5:M5"/>
    <mergeCell ref="A142:B142"/>
    <mergeCell ref="A99:B99"/>
    <mergeCell ref="A97:S97"/>
    <mergeCell ref="A118:S118"/>
    <mergeCell ref="A119:S119"/>
    <mergeCell ref="A124:B124"/>
    <mergeCell ref="A57:B57"/>
    <mergeCell ref="A58:B58"/>
    <mergeCell ref="A121:B121"/>
    <mergeCell ref="A122:B122"/>
    <mergeCell ref="A123:B123"/>
    <mergeCell ref="A100:B100"/>
    <mergeCell ref="A77:S77"/>
    <mergeCell ref="A96:S96"/>
  </mergeCells>
  <phoneticPr fontId="14"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32</vt:i4>
      </vt:variant>
    </vt:vector>
  </HeadingPairs>
  <TitlesOfParts>
    <vt:vector size="41" baseType="lpstr">
      <vt:lpstr>Ex1</vt:lpstr>
      <vt:lpstr>Ex2</vt:lpstr>
      <vt:lpstr>Ex3</vt:lpstr>
      <vt:lpstr>Ex4</vt:lpstr>
      <vt:lpstr>Ex5</vt:lpstr>
      <vt:lpstr>Extra1</vt:lpstr>
      <vt:lpstr>Extra2</vt:lpstr>
      <vt:lpstr>Interest Rate Caps and Floors </vt:lpstr>
      <vt:lpstr>Binomial interest  caps floor</vt:lpstr>
      <vt:lpstr>'Ex1'!AnnualCoupon</vt:lpstr>
      <vt:lpstr>'Ex2'!AnnualCoupon</vt:lpstr>
      <vt:lpstr>'Ex1'!AnnualCoupon1</vt:lpstr>
      <vt:lpstr>'Ex2'!AnnualCoupon1</vt:lpstr>
      <vt:lpstr>'Ex1'!AnnualCoupon2</vt:lpstr>
      <vt:lpstr>'Ex2'!AnnualCoupon2</vt:lpstr>
      <vt:lpstr>'Ex1'!BondPrice</vt:lpstr>
      <vt:lpstr>'Ex2'!BondPrice</vt:lpstr>
      <vt:lpstr>'Ex1'!BondPrice2</vt:lpstr>
      <vt:lpstr>'Ex2'!BondPrice2</vt:lpstr>
      <vt:lpstr>call_limit</vt:lpstr>
      <vt:lpstr>call_price</vt:lpstr>
      <vt:lpstr>coupon_per_period</vt:lpstr>
      <vt:lpstr>couponrate</vt:lpstr>
      <vt:lpstr>'Ex1'!FaceValue</vt:lpstr>
      <vt:lpstr>'Ex2'!FaceValue</vt:lpstr>
      <vt:lpstr>frequency</vt:lpstr>
      <vt:lpstr>'Ex1'!Maturity</vt:lpstr>
      <vt:lpstr>'Ex2'!Maturity</vt:lpstr>
      <vt:lpstr>maturity</vt:lpstr>
      <vt:lpstr>'Ex1'!Maturity2</vt:lpstr>
      <vt:lpstr>'Ex2'!Maturity2</vt:lpstr>
      <vt:lpstr>par</vt:lpstr>
      <vt:lpstr>'Ex1'!PeriodCoupon</vt:lpstr>
      <vt:lpstr>'Ex2'!PeriodCoupon</vt:lpstr>
      <vt:lpstr>'Ex1'!PeriodCoupon2</vt:lpstr>
      <vt:lpstr>'Ex2'!PeriodCoupon2</vt:lpstr>
      <vt:lpstr>prob</vt:lpstr>
      <vt:lpstr>'Ex1'!SemiAnnualPeriod</vt:lpstr>
      <vt:lpstr>'Ex2'!SemiAnnualPeriod</vt:lpstr>
      <vt:lpstr>'Ex1'!SemiAnnualPeriod2</vt:lpstr>
      <vt:lpstr>'Ex2'!SemiAnnualPeriod2</vt:lpstr>
    </vt:vector>
  </TitlesOfParts>
  <Company>University of Cambridge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Yazann Romahi</dc:creator>
  <cp:lastModifiedBy>johan</cp:lastModifiedBy>
  <cp:lastPrinted>2023-02-13T03:52:16Z</cp:lastPrinted>
  <dcterms:created xsi:type="dcterms:W3CDTF">2002-08-14T18:48:00Z</dcterms:created>
  <dcterms:modified xsi:type="dcterms:W3CDTF">2023-06-15T00:17:43Z</dcterms:modified>
</cp:coreProperties>
</file>