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EA6DDB0B-FC0F-4A0D-8379-2B152FD3405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bootstrapping " sheetId="23" r:id="rId1"/>
  </sheets>
  <functionGroups builtInGroupCount="19"/>
  <definedNames>
    <definedName name="AnnualCoupon">#REF!</definedName>
    <definedName name="AnnualCoupon1">#REF!</definedName>
    <definedName name="AnnualCoupon2">#REF!</definedName>
    <definedName name="BondPrice">#REF!</definedName>
    <definedName name="BondPrice2">#REF!</definedName>
    <definedName name="FaceValue">#REF!</definedName>
    <definedName name="Maturity">#REF!</definedName>
    <definedName name="Maturity2">#REF!</definedName>
    <definedName name="PeriodCoupon">#REF!</definedName>
    <definedName name="PeriodCoupon2">#REF!</definedName>
    <definedName name="SemiAnnualPeriod">#REF!</definedName>
    <definedName name="SemiAnnualPeriod2">#REF!</definedName>
    <definedName name="solver_adj" localSheetId="0" hidden="1">'bootstrapping '!$H$33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'bootstrapping '!$G$33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X">#REF!</definedName>
    <definedName name="Xa">#REF!</definedName>
    <definedName name="Xb">#REF!</definedName>
    <definedName name="Xc">#REF!</definedName>
    <definedName name="XX">#REF!</definedName>
    <definedName name="Y">#REF!</definedName>
    <definedName name="Ya">#REF!</definedName>
    <definedName name="Yb">#REF!</definedName>
    <definedName name="Y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23" l="1"/>
  <c r="O8" i="23"/>
  <c r="K9" i="23"/>
  <c r="O9" i="23"/>
  <c r="P9" i="23"/>
  <c r="K10" i="23"/>
  <c r="O10" i="23"/>
  <c r="P10" i="23"/>
  <c r="K11" i="23"/>
  <c r="O11" i="23"/>
  <c r="P11" i="23"/>
  <c r="K12" i="23"/>
  <c r="O12" i="23"/>
  <c r="P12" i="23"/>
  <c r="K13" i="23"/>
  <c r="O13" i="23"/>
  <c r="P13" i="23"/>
  <c r="K14" i="23"/>
  <c r="O14" i="23"/>
  <c r="P14" i="23"/>
  <c r="K15" i="23"/>
  <c r="O15" i="23"/>
  <c r="P15" i="23"/>
  <c r="K16" i="23"/>
  <c r="O16" i="23"/>
  <c r="P16" i="23"/>
  <c r="K17" i="23"/>
  <c r="O17" i="23"/>
  <c r="P17" i="23"/>
  <c r="K18" i="23"/>
  <c r="O18" i="23"/>
  <c r="P18" i="23"/>
  <c r="K19" i="23"/>
  <c r="O19" i="23"/>
  <c r="P19" i="23"/>
  <c r="K20" i="23"/>
  <c r="O20" i="23"/>
  <c r="P20" i="23"/>
  <c r="K21" i="23"/>
  <c r="O21" i="23"/>
  <c r="P21" i="23"/>
  <c r="K22" i="23"/>
  <c r="O22" i="23"/>
  <c r="P22" i="23"/>
  <c r="K23" i="23"/>
  <c r="O23" i="23"/>
  <c r="P23" i="23"/>
  <c r="K24" i="23"/>
  <c r="O24" i="23"/>
  <c r="P24" i="23"/>
  <c r="K25" i="23"/>
  <c r="O25" i="23"/>
  <c r="P25" i="23"/>
  <c r="K26" i="23"/>
  <c r="O26" i="23"/>
  <c r="P26" i="23"/>
  <c r="K27" i="23"/>
  <c r="O27" i="23"/>
  <c r="P27" i="23"/>
  <c r="K28" i="23"/>
  <c r="O28" i="23"/>
  <c r="P28" i="23"/>
  <c r="K29" i="23"/>
  <c r="O29" i="23"/>
  <c r="P29" i="23"/>
  <c r="K30" i="23"/>
  <c r="O30" i="23"/>
  <c r="P30" i="23"/>
  <c r="K31" i="23"/>
  <c r="O31" i="23"/>
  <c r="P31" i="23"/>
  <c r="K32" i="23"/>
  <c r="O32" i="23"/>
  <c r="P32" i="23"/>
  <c r="K33" i="23"/>
  <c r="O33" i="23"/>
  <c r="P33" i="23"/>
  <c r="K34" i="23"/>
  <c r="O34" i="23"/>
  <c r="P34" i="23"/>
  <c r="K35" i="23"/>
  <c r="O35" i="23"/>
  <c r="P35" i="23"/>
  <c r="K36" i="23"/>
  <c r="O36" i="23"/>
  <c r="P36" i="23"/>
  <c r="K37" i="23"/>
  <c r="O37" i="23"/>
  <c r="P37" i="23"/>
  <c r="K38" i="23"/>
  <c r="O38" i="23"/>
  <c r="P38" i="23"/>
  <c r="K39" i="23"/>
  <c r="O39" i="23"/>
  <c r="P39" i="23"/>
  <c r="K40" i="23"/>
  <c r="O40" i="23"/>
  <c r="P40" i="23"/>
  <c r="K41" i="23"/>
  <c r="O41" i="23"/>
  <c r="P41" i="23"/>
  <c r="K42" i="23"/>
  <c r="O42" i="23"/>
  <c r="P42" i="23"/>
  <c r="K43" i="23"/>
  <c r="O43" i="23"/>
  <c r="P43" i="23"/>
  <c r="K44" i="23"/>
  <c r="O44" i="23"/>
  <c r="P44" i="23"/>
  <c r="K45" i="23"/>
  <c r="O45" i="23"/>
  <c r="P45" i="23"/>
  <c r="K46" i="23"/>
  <c r="O46" i="23"/>
  <c r="P46" i="23"/>
  <c r="K47" i="23"/>
  <c r="O47" i="23"/>
  <c r="P47" i="23"/>
  <c r="K48" i="23"/>
  <c r="O48" i="23"/>
  <c r="P48" i="23"/>
  <c r="K49" i="23"/>
  <c r="O49" i="23"/>
  <c r="P49" i="23"/>
  <c r="K50" i="23"/>
  <c r="O50" i="23"/>
  <c r="P50" i="23"/>
  <c r="K51" i="23"/>
  <c r="O51" i="23"/>
  <c r="P51" i="23"/>
  <c r="K52" i="23"/>
  <c r="O52" i="23"/>
  <c r="P52" i="23"/>
  <c r="K53" i="23"/>
  <c r="O53" i="23"/>
  <c r="P53" i="23"/>
  <c r="K54" i="23"/>
  <c r="O54" i="23"/>
  <c r="P54" i="23"/>
  <c r="K55" i="23"/>
  <c r="O55" i="23"/>
  <c r="P55" i="23"/>
  <c r="K56" i="23"/>
  <c r="O56" i="23"/>
  <c r="P56" i="23"/>
  <c r="K57" i="23"/>
  <c r="O57" i="23"/>
  <c r="P57" i="23"/>
  <c r="K58" i="23"/>
  <c r="O58" i="23"/>
  <c r="P58" i="23"/>
  <c r="K59" i="23"/>
  <c r="O59" i="23"/>
  <c r="P59" i="23"/>
  <c r="K60" i="23"/>
  <c r="O60" i="23"/>
  <c r="P60" i="23"/>
  <c r="K61" i="23"/>
  <c r="O61" i="23"/>
  <c r="P61" i="23"/>
  <c r="K62" i="23"/>
  <c r="O62" i="23"/>
  <c r="P62" i="23"/>
  <c r="K63" i="23"/>
  <c r="O63" i="23"/>
  <c r="P63" i="23"/>
  <c r="K64" i="23"/>
  <c r="O64" i="23"/>
  <c r="P64" i="23"/>
  <c r="K65" i="23"/>
  <c r="O65" i="23"/>
  <c r="P65" i="23"/>
  <c r="K66" i="23"/>
  <c r="O66" i="23"/>
  <c r="P66" i="23"/>
  <c r="K67" i="23"/>
  <c r="O67" i="23"/>
  <c r="P67" i="23"/>
  <c r="P8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N10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63" i="23"/>
  <c r="N64" i="23"/>
  <c r="N65" i="23"/>
  <c r="N66" i="23"/>
  <c r="N67" i="23"/>
  <c r="N9" i="23"/>
  <c r="N11" i="23"/>
  <c r="I8" i="23" a="1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L11" i="23"/>
  <c r="L9" i="23"/>
  <c r="L12" i="23"/>
  <c r="L10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8" i="23"/>
  <c r="N8" i="23"/>
  <c r="F12" i="23"/>
  <c r="E12" i="23"/>
  <c r="G12" i="23"/>
  <c r="F13" i="23"/>
  <c r="E13" i="23"/>
  <c r="G13" i="23"/>
  <c r="F14" i="23"/>
  <c r="E14" i="23"/>
  <c r="G14" i="23"/>
  <c r="F15" i="23"/>
  <c r="E15" i="23"/>
  <c r="G15" i="23"/>
  <c r="F16" i="23"/>
  <c r="E16" i="23"/>
  <c r="G16" i="23"/>
  <c r="F17" i="23"/>
  <c r="E17" i="23"/>
  <c r="G17" i="23"/>
  <c r="F18" i="23"/>
  <c r="E18" i="23"/>
  <c r="G18" i="23"/>
  <c r="F19" i="23"/>
  <c r="E19" i="23"/>
  <c r="G19" i="23"/>
  <c r="F20" i="23"/>
  <c r="E20" i="23"/>
  <c r="G20" i="23"/>
  <c r="F21" i="23"/>
  <c r="E21" i="23"/>
  <c r="G21" i="23"/>
  <c r="F22" i="23"/>
  <c r="E22" i="23"/>
  <c r="G22" i="23"/>
  <c r="F23" i="23"/>
  <c r="E23" i="23"/>
  <c r="G23" i="23"/>
  <c r="F24" i="23"/>
  <c r="E24" i="23"/>
  <c r="G24" i="23"/>
  <c r="F25" i="23"/>
  <c r="E25" i="23"/>
  <c r="G25" i="23"/>
  <c r="F26" i="23"/>
  <c r="E26" i="23"/>
  <c r="G26" i="23"/>
  <c r="F27" i="23"/>
  <c r="E27" i="23"/>
  <c r="G27" i="23"/>
  <c r="F28" i="23"/>
  <c r="E28" i="23"/>
  <c r="G28" i="23"/>
  <c r="F29" i="23"/>
  <c r="E29" i="23"/>
  <c r="G29" i="23"/>
  <c r="F30" i="23"/>
  <c r="E30" i="23"/>
  <c r="G30" i="23"/>
  <c r="F31" i="23"/>
  <c r="E31" i="23"/>
  <c r="G31" i="23"/>
  <c r="F32" i="23"/>
  <c r="E32" i="23"/>
  <c r="G32" i="23"/>
  <c r="F33" i="23"/>
  <c r="E33" i="23"/>
  <c r="G33" i="23"/>
  <c r="E9" i="23"/>
  <c r="E10" i="23"/>
  <c r="E11" i="23"/>
  <c r="E8" i="23"/>
  <c r="F9" i="23"/>
  <c r="F10" i="23"/>
  <c r="F11" i="23"/>
  <c r="F8" i="23"/>
  <c r="G11" i="23"/>
  <c r="G10" i="23"/>
  <c r="G9" i="23"/>
  <c r="G8" i="23"/>
</calcChain>
</file>

<file path=xl/sharedStrings.xml><?xml version="1.0" encoding="utf-8"?>
<sst xmlns="http://schemas.openxmlformats.org/spreadsheetml/2006/main" count="26" uniqueCount="23">
  <si>
    <t>Today:</t>
  </si>
  <si>
    <t>Mat (yrs)</t>
  </si>
  <si>
    <t>Par:</t>
  </si>
  <si>
    <t>Error</t>
  </si>
  <si>
    <t>Full price</t>
  </si>
  <si>
    <t>Freq:</t>
  </si>
  <si>
    <t>Model price</t>
  </si>
  <si>
    <t>Spot rate</t>
  </si>
  <si>
    <t>Bootstrapped</t>
  </si>
  <si>
    <t>Cubic splines</t>
  </si>
  <si>
    <t>CubicSpline</t>
  </si>
  <si>
    <t>zp2</t>
  </si>
  <si>
    <t>Comparing spot rates</t>
  </si>
  <si>
    <t>MATURITY</t>
  </si>
  <si>
    <t>COUPON (%)</t>
  </si>
  <si>
    <t>PRICE</t>
  </si>
  <si>
    <t>1-year forward rates</t>
  </si>
  <si>
    <t>Q3 a)</t>
  </si>
  <si>
    <t>Q3 b)</t>
  </si>
  <si>
    <t>Q4</t>
  </si>
  <si>
    <t>1/(1+Z/m)^n</t>
  </si>
  <si>
    <t>Cumulative of (1+Z/m)^t</t>
  </si>
  <si>
    <t>Par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</si>
</sst>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0.00000"/>
    <numFmt numFmtId="165" formatCode="0.0000000"/>
    <numFmt numFmtId="166" formatCode="0.000000000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BEBEB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5" fillId="0" borderId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2" applyFont="1"/>
    <xf numFmtId="0" fontId="5" fillId="0" borderId="0" xfId="2"/>
    <xf numFmtId="0" fontId="5" fillId="0" borderId="0" xfId="2" applyAlignment="1">
      <alignment horizontal="center"/>
    </xf>
    <xf numFmtId="0" fontId="4" fillId="3" borderId="0" xfId="2" applyFont="1" applyFill="1"/>
    <xf numFmtId="0" fontId="4" fillId="3" borderId="0" xfId="2" applyFont="1" applyFill="1" applyAlignment="1">
      <alignment horizontal="center"/>
    </xf>
    <xf numFmtId="0" fontId="4" fillId="0" borderId="0" xfId="2" applyFont="1" applyAlignment="1">
      <alignment horizontal="center"/>
    </xf>
    <xf numFmtId="2" fontId="4" fillId="2" borderId="0" xfId="2" applyNumberFormat="1" applyFont="1" applyFill="1" applyAlignment="1">
      <alignment horizontal="center"/>
    </xf>
    <xf numFmtId="0" fontId="4" fillId="2" borderId="0" xfId="2" applyFont="1" applyFill="1" applyAlignment="1">
      <alignment horizontal="center"/>
    </xf>
    <xf numFmtId="2" fontId="4" fillId="3" borderId="0" xfId="2" applyNumberFormat="1" applyFont="1" applyFill="1" applyAlignment="1">
      <alignment horizontal="center"/>
    </xf>
    <xf numFmtId="0" fontId="5" fillId="0" borderId="0" xfId="0" applyFont="1"/>
    <xf numFmtId="14" fontId="5" fillId="0" borderId="0" xfId="2" applyNumberFormat="1"/>
    <xf numFmtId="166" fontId="5" fillId="0" borderId="0" xfId="0" applyNumberFormat="1" applyFont="1"/>
    <xf numFmtId="165" fontId="5" fillId="0" borderId="0" xfId="0" applyNumberFormat="1" applyFont="1"/>
    <xf numFmtId="2" fontId="5" fillId="0" borderId="0" xfId="0" applyNumberFormat="1" applyFont="1"/>
    <xf numFmtId="0" fontId="5" fillId="3" borderId="0" xfId="0" applyFont="1" applyFill="1"/>
    <xf numFmtId="14" fontId="7" fillId="0" borderId="1" xfId="0" applyNumberFormat="1" applyFont="1" applyBorder="1" applyAlignment="1">
      <alignment horizontal="left" vertical="center" wrapText="1"/>
    </xf>
    <xf numFmtId="0" fontId="7" fillId="0" borderId="1" xfId="0" applyFont="1" applyBorder="1" applyAlignment="1">
      <alignment horizontal="right" vertical="center" wrapText="1"/>
    </xf>
    <xf numFmtId="0" fontId="6" fillId="0" borderId="0" xfId="0" applyFont="1"/>
    <xf numFmtId="164" fontId="6" fillId="0" borderId="0" xfId="4" applyNumberFormat="1" applyFont="1"/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2" fontId="4" fillId="3" borderId="0" xfId="2" applyNumberFormat="1" applyFont="1" applyFill="1" applyAlignment="1">
      <alignment horizontal="center"/>
    </xf>
    <xf numFmtId="0" fontId="4" fillId="2" borderId="0" xfId="2" applyFont="1" applyFill="1" applyAlignment="1">
      <alignment horizontal="center"/>
    </xf>
  </cellXfs>
  <cellStyles count="8">
    <cellStyle name="Currency 2" xfId="6" xr:uid="{EEA4948E-3AC0-4DEF-B725-0D8CBD988B7F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5" xr:uid="{EA44DC49-BAC6-40ED-9A83-B88CF0D6AE0E}"/>
    <cellStyle name="Normal 5" xfId="4" xr:uid="{0B376528-1DA7-48C9-A087-17761E079C00}"/>
    <cellStyle name="Percent 2" xfId="7" xr:uid="{6102EF5B-64CA-4469-A581-33E8FB448F6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 rates/Forward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'bootstrapping '!$J$8:$J$67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'bootstrapping '!$L$8:$L$67</c:f>
              <c:numCache>
                <c:formatCode>General</c:formatCode>
                <c:ptCount val="60"/>
                <c:pt idx="0">
                  <c:v>4.5453241231413082E-2</c:v>
                </c:pt>
                <c:pt idx="1">
                  <c:v>4.7037521736610778E-2</c:v>
                </c:pt>
                <c:pt idx="2">
                  <c:v>4.5014108568294534E-2</c:v>
                </c:pt>
                <c:pt idx="3">
                  <c:v>4.2064817276914392E-2</c:v>
                </c:pt>
                <c:pt idx="4">
                  <c:v>4.0283063681705984E-2</c:v>
                </c:pt>
                <c:pt idx="5">
                  <c:v>3.8924174786515109E-2</c:v>
                </c:pt>
                <c:pt idx="6">
                  <c:v>3.8019572633436492E-2</c:v>
                </c:pt>
                <c:pt idx="7">
                  <c:v>3.7368226923260583E-2</c:v>
                </c:pt>
                <c:pt idx="8">
                  <c:v>3.6768716680723762E-2</c:v>
                </c:pt>
                <c:pt idx="9">
                  <c:v>3.642967509232628E-2</c:v>
                </c:pt>
                <c:pt idx="10">
                  <c:v>3.6479508495074121E-2</c:v>
                </c:pt>
                <c:pt idx="11">
                  <c:v>3.6498222118655367E-2</c:v>
                </c:pt>
                <c:pt idx="12">
                  <c:v>3.6231132974598186E-2</c:v>
                </c:pt>
                <c:pt idx="13">
                  <c:v>3.5880085155028288E-2</c:v>
                </c:pt>
                <c:pt idx="14">
                  <c:v>3.5632931015304944E-2</c:v>
                </c:pt>
                <c:pt idx="15">
                  <c:v>3.549089784279974E-2</c:v>
                </c:pt>
                <c:pt idx="16">
                  <c:v>3.5416347783757136E-2</c:v>
                </c:pt>
                <c:pt idx="17">
                  <c:v>3.5371642984421581E-2</c:v>
                </c:pt>
                <c:pt idx="18">
                  <c:v>3.5319145591037528E-2</c:v>
                </c:pt>
                <c:pt idx="19">
                  <c:v>3.5221617794944322E-2</c:v>
                </c:pt>
                <c:pt idx="20">
                  <c:v>3.5069343208547731E-2</c:v>
                </c:pt>
                <c:pt idx="21">
                  <c:v>3.4897420243649682E-2</c:v>
                </c:pt>
                <c:pt idx="22">
                  <c:v>3.4745065910373955E-2</c:v>
                </c:pt>
                <c:pt idx="23">
                  <c:v>3.4651497218844335E-2</c:v>
                </c:pt>
                <c:pt idx="24">
                  <c:v>3.4655931179184578E-2</c:v>
                </c:pt>
                <c:pt idx="25">
                  <c:v>3.479758480151849E-2</c:v>
                </c:pt>
                <c:pt idx="26">
                  <c:v>3.5103338513491462E-2</c:v>
                </c:pt>
                <c:pt idx="27">
                  <c:v>3.5511708031455445E-2</c:v>
                </c:pt>
                <c:pt idx="28">
                  <c:v>3.5930605744644149E-2</c:v>
                </c:pt>
                <c:pt idx="29">
                  <c:v>3.6324574006966204E-2</c:v>
                </c:pt>
                <c:pt idx="30">
                  <c:v>3.6682484330819304E-2</c:v>
                </c:pt>
                <c:pt idx="31">
                  <c:v>3.6990200429425565E-2</c:v>
                </c:pt>
                <c:pt idx="32">
                  <c:v>3.7241099023923051E-2</c:v>
                </c:pt>
                <c:pt idx="33">
                  <c:v>3.749208096796481E-2</c:v>
                </c:pt>
                <c:pt idx="34">
                  <c:v>3.7827749496009248E-2</c:v>
                </c:pt>
                <c:pt idx="35">
                  <c:v>3.8308310012784848E-2</c:v>
                </c:pt>
                <c:pt idx="36">
                  <c:v>3.881838725475506E-2</c:v>
                </c:pt>
                <c:pt idx="37">
                  <c:v>3.9189013547308901E-2</c:v>
                </c:pt>
                <c:pt idx="38">
                  <c:v>3.9415434683506799E-2</c:v>
                </c:pt>
                <c:pt idx="39">
                  <c:v>3.9564640870417882E-2</c:v>
                </c:pt>
                <c:pt idx="40">
                  <c:v>3.9703920036167892E-2</c:v>
                </c:pt>
                <c:pt idx="41">
                  <c:v>3.9896542286823398E-2</c:v>
                </c:pt>
                <c:pt idx="42">
                  <c:v>4.0000284939572132E-2</c:v>
                </c:pt>
                <c:pt idx="43">
                  <c:v>3.9930793271137521E-2</c:v>
                </c:pt>
                <c:pt idx="44">
                  <c:v>3.9783374020338325E-2</c:v>
                </c:pt>
                <c:pt idx="45">
                  <c:v>3.9621757771416861E-2</c:v>
                </c:pt>
                <c:pt idx="46">
                  <c:v>3.9456761011908217E-2</c:v>
                </c:pt>
                <c:pt idx="47">
                  <c:v>3.9294337284230312E-2</c:v>
                </c:pt>
                <c:pt idx="48">
                  <c:v>3.9134438792533574E-2</c:v>
                </c:pt>
                <c:pt idx="49">
                  <c:v>3.8934031239292489E-2</c:v>
                </c:pt>
                <c:pt idx="50">
                  <c:v>3.8631335908332766E-2</c:v>
                </c:pt>
                <c:pt idx="51">
                  <c:v>3.8167858654245664E-2</c:v>
                </c:pt>
                <c:pt idx="52">
                  <c:v>3.7664309882649065E-2</c:v>
                </c:pt>
                <c:pt idx="53">
                  <c:v>3.7244801455048944E-2</c:v>
                </c:pt>
                <c:pt idx="54">
                  <c:v>3.6905298576667404E-2</c:v>
                </c:pt>
                <c:pt idx="55">
                  <c:v>3.6641091026745808E-2</c:v>
                </c:pt>
                <c:pt idx="56">
                  <c:v>3.644746858452548E-2</c:v>
                </c:pt>
                <c:pt idx="57">
                  <c:v>3.6319721029247763E-2</c:v>
                </c:pt>
                <c:pt idx="58">
                  <c:v>3.625313814015399E-2</c:v>
                </c:pt>
                <c:pt idx="59">
                  <c:v>3.6243009696485522E-2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C65-BDD8-6DF5B3D749DA}"/>
            </c:ext>
          </c:extLst>
        </c:ser>
        <c:ser>
          <c:idx val="1"/>
          <c:order val="1"/>
          <c:tx>
            <c:strRef>
              <c:f>'bootstrapping '!$K$7</c:f>
              <c:strCache>
                <c:ptCount val="1"/>
                <c:pt idx="0">
                  <c:v>Bootstrapped</c:v>
                </c:pt>
              </c:strCache>
            </c:strRef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'bootstrapping '!$J$8:$J$67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'bootstrapping '!$K$8:$K$67</c:f>
              <c:numCache>
                <c:formatCode>General</c:formatCode>
                <c:ptCount val="60"/>
                <c:pt idx="0">
                  <c:v>4.5612928406929536E-2</c:v>
                </c:pt>
                <c:pt idx="1">
                  <c:v>4.6976901490607993E-2</c:v>
                </c:pt>
                <c:pt idx="2">
                  <c:v>4.5007233822404444E-2</c:v>
                </c:pt>
                <c:pt idx="3">
                  <c:v>4.2103202022873223E-2</c:v>
                </c:pt>
                <c:pt idx="4">
                  <c:v>4.0289619106376615E-2</c:v>
                </c:pt>
                <c:pt idx="5">
                  <c:v>3.8946243106148415E-2</c:v>
                </c:pt>
                <c:pt idx="6">
                  <c:v>3.8152268693397023E-2</c:v>
                </c:pt>
                <c:pt idx="7">
                  <c:v>3.7377099154682986E-2</c:v>
                </c:pt>
                <c:pt idx="8">
                  <c:v>3.6892550396546146E-2</c:v>
                </c:pt>
                <c:pt idx="9">
                  <c:v>3.6440531802058078E-2</c:v>
                </c:pt>
                <c:pt idx="10">
                  <c:v>3.6491252100323626E-2</c:v>
                </c:pt>
                <c:pt idx="11">
                  <c:v>3.6438449894503656E-2</c:v>
                </c:pt>
                <c:pt idx="12">
                  <c:v>3.6160440837690634E-2</c:v>
                </c:pt>
                <c:pt idx="13">
                  <c:v>3.589255718413574E-2</c:v>
                </c:pt>
                <c:pt idx="14">
                  <c:v>3.5781157035479086E-2</c:v>
                </c:pt>
                <c:pt idx="15">
                  <c:v>3.5669756886822439E-2</c:v>
                </c:pt>
                <c:pt idx="16">
                  <c:v>3.5558356738165792E-2</c:v>
                </c:pt>
                <c:pt idx="17">
                  <c:v>3.5446956589509145E-2</c:v>
                </c:pt>
                <c:pt idx="18">
                  <c:v>3.5335556440852491E-2</c:v>
                </c:pt>
                <c:pt idx="19">
                  <c:v>3.523910251433468E-2</c:v>
                </c:pt>
                <c:pt idx="20">
                  <c:v>3.5175163176329426E-2</c:v>
                </c:pt>
                <c:pt idx="21">
                  <c:v>3.5111223838324164E-2</c:v>
                </c:pt>
                <c:pt idx="22">
                  <c:v>3.5047284500318909E-2</c:v>
                </c:pt>
                <c:pt idx="23">
                  <c:v>3.4983345162313655E-2</c:v>
                </c:pt>
                <c:pt idx="24">
                  <c:v>3.49194058243084E-2</c:v>
                </c:pt>
                <c:pt idx="25">
                  <c:v>3.4855466486303138E-2</c:v>
                </c:pt>
                <c:pt idx="26">
                  <c:v>3.5146745103907764E-2</c:v>
                </c:pt>
                <c:pt idx="27">
                  <c:v>3.5521464180883838E-2</c:v>
                </c:pt>
                <c:pt idx="28">
                  <c:v>3.5917895243041204E-2</c:v>
                </c:pt>
                <c:pt idx="29">
                  <c:v>3.6319426435945858E-2</c:v>
                </c:pt>
                <c:pt idx="30">
                  <c:v>3.6657350885650024E-2</c:v>
                </c:pt>
                <c:pt idx="31">
                  <c:v>3.6980334154065479E-2</c:v>
                </c:pt>
                <c:pt idx="32">
                  <c:v>3.7275640803648542E-2</c:v>
                </c:pt>
                <c:pt idx="33">
                  <c:v>3.756444623404278E-2</c:v>
                </c:pt>
                <c:pt idx="34">
                  <c:v>3.7853251664437024E-2</c:v>
                </c:pt>
                <c:pt idx="35">
                  <c:v>3.8310938442093483E-2</c:v>
                </c:pt>
                <c:pt idx="36">
                  <c:v>3.8808295334878645E-2</c:v>
                </c:pt>
                <c:pt idx="37">
                  <c:v>3.9069631183402717E-2</c:v>
                </c:pt>
                <c:pt idx="38">
                  <c:v>3.9275525847033248E-2</c:v>
                </c:pt>
                <c:pt idx="39">
                  <c:v>3.9481420510663778E-2</c:v>
                </c:pt>
                <c:pt idx="40">
                  <c:v>3.9687315174294302E-2</c:v>
                </c:pt>
                <c:pt idx="41">
                  <c:v>3.9893872317188578E-2</c:v>
                </c:pt>
                <c:pt idx="42">
                  <c:v>3.9900713564589727E-2</c:v>
                </c:pt>
                <c:pt idx="43">
                  <c:v>3.9860303149267057E-2</c:v>
                </c:pt>
                <c:pt idx="44">
                  <c:v>3.9781551588369837E-2</c:v>
                </c:pt>
                <c:pt idx="45">
                  <c:v>3.9619391219556051E-2</c:v>
                </c:pt>
                <c:pt idx="46">
                  <c:v>3.9457230850742271E-2</c:v>
                </c:pt>
                <c:pt idx="47">
                  <c:v>3.9295070481928492E-2</c:v>
                </c:pt>
                <c:pt idx="48">
                  <c:v>3.9048446318413789E-2</c:v>
                </c:pt>
                <c:pt idx="49">
                  <c:v>3.8781981666210948E-2</c:v>
                </c:pt>
                <c:pt idx="50">
                  <c:v>3.8515517014008106E-2</c:v>
                </c:pt>
                <c:pt idx="51">
                  <c:v>3.8166455255328378E-2</c:v>
                </c:pt>
                <c:pt idx="52">
                  <c:v>3.7868644096910598E-2</c:v>
                </c:pt>
                <c:pt idx="53">
                  <c:v>3.762507954035698E-2</c:v>
                </c:pt>
                <c:pt idx="54">
                  <c:v>3.7381514983803356E-2</c:v>
                </c:pt>
                <c:pt idx="55">
                  <c:v>3.7137950427249732E-2</c:v>
                </c:pt>
                <c:pt idx="56">
                  <c:v>3.6894385870696114E-2</c:v>
                </c:pt>
                <c:pt idx="57">
                  <c:v>3.665082131414249E-2</c:v>
                </c:pt>
                <c:pt idx="58">
                  <c:v>3.6407256757588866E-2</c:v>
                </c:pt>
                <c:pt idx="59">
                  <c:v>3.6240394851441635E-2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B7-4C65-BDD8-6DF5B3D749DA}"/>
            </c:ext>
          </c:extLst>
        </c:ser>
        <c:ser>
          <c:idx val="2"/>
          <c:order val="2"/>
          <c:tx>
            <c:strRef>
              <c:f>'bootstrapping '!$M$6</c:f>
              <c:strCache>
                <c:ptCount val="1"/>
                <c:pt idx="0">
                  <c:v>1-year forward rates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'bootstrapping '!$M$8:$M$67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'bootstrapping '!$N$8:$N$67</c:f>
              <c:numCache>
                <c:formatCode>General</c:formatCode>
                <c:ptCount val="60"/>
                <c:pt idx="0">
                  <c:v>4.5612928406929536E-2</c:v>
                </c:pt>
                <c:pt idx="1">
                  <c:v>4.6976901490607993E-2</c:v>
                </c:pt>
                <c:pt idx="2">
                  <c:v>4.4704453787007381E-2</c:v>
                </c:pt>
                <c:pt idx="3">
                  <c:v>3.7241106470397245E-2</c:v>
                </c:pt>
                <c:pt idx="4">
                  <c:v>3.3233594878099737E-2</c:v>
                </c:pt>
                <c:pt idx="5">
                  <c:v>3.2646959088161065E-2</c:v>
                </c:pt>
                <c:pt idx="6">
                  <c:v>3.2818683280822381E-2</c:v>
                </c:pt>
                <c:pt idx="7">
                  <c:v>3.2676909128469322E-2</c:v>
                </c:pt>
                <c:pt idx="8">
                  <c:v>3.2489664616658587E-2</c:v>
                </c:pt>
                <c:pt idx="9">
                  <c:v>3.2698565744511132E-2</c:v>
                </c:pt>
                <c:pt idx="10">
                  <c:v>3.4686387931822882E-2</c:v>
                </c:pt>
                <c:pt idx="11">
                  <c:v>3.6428040388657212E-2</c:v>
                </c:pt>
                <c:pt idx="12">
                  <c:v>3.4341939218256012E-2</c:v>
                </c:pt>
                <c:pt idx="13">
                  <c:v>3.2620272549623852E-2</c:v>
                </c:pt>
                <c:pt idx="14">
                  <c:v>3.3317533844438252E-2</c:v>
                </c:pt>
                <c:pt idx="15">
                  <c:v>3.4110837363778401E-2</c:v>
                </c:pt>
                <c:pt idx="16">
                  <c:v>3.3888131555975587E-2</c:v>
                </c:pt>
                <c:pt idx="17">
                  <c:v>3.3665431849779548E-2</c:v>
                </c:pt>
                <c:pt idx="18">
                  <c:v>3.3442738245854198E-2</c:v>
                </c:pt>
                <c:pt idx="19">
                  <c:v>3.3369370723822289E-2</c:v>
                </c:pt>
                <c:pt idx="20">
                  <c:v>3.3652057426891702E-2</c:v>
                </c:pt>
                <c:pt idx="21">
                  <c:v>3.3832878914781261E-2</c:v>
                </c:pt>
                <c:pt idx="22">
                  <c:v>3.3705043428410519E-2</c:v>
                </c:pt>
                <c:pt idx="23">
                  <c:v>3.3577209952283749E-2</c:v>
                </c:pt>
                <c:pt idx="24">
                  <c:v>3.3449378486514636E-2</c:v>
                </c:pt>
                <c:pt idx="25">
                  <c:v>3.3321549031244402E-2</c:v>
                </c:pt>
                <c:pt idx="26">
                  <c:v>3.7990629984144153E-2</c:v>
                </c:pt>
                <c:pt idx="27">
                  <c:v>4.4199296165067459E-2</c:v>
                </c:pt>
                <c:pt idx="28">
                  <c:v>4.6357066526333757E-2</c:v>
                </c:pt>
                <c:pt idx="29">
                  <c:v>4.7523799553041979E-2</c:v>
                </c:pt>
                <c:pt idx="30">
                  <c:v>4.7409688093191349E-2</c:v>
                </c:pt>
                <c:pt idx="31">
                  <c:v>4.6919729454515835E-2</c:v>
                </c:pt>
                <c:pt idx="32">
                  <c:v>4.6883172040308452E-2</c:v>
                </c:pt>
                <c:pt idx="33">
                  <c:v>4.6933051720738916E-2</c:v>
                </c:pt>
                <c:pt idx="34">
                  <c:v>4.7407509099606226E-2</c:v>
                </c:pt>
                <c:pt idx="35">
                  <c:v>5.1043231605310879E-2</c:v>
                </c:pt>
                <c:pt idx="36">
                  <c:v>5.5594199153084833E-2</c:v>
                </c:pt>
                <c:pt idx="37">
                  <c:v>5.2774492569870102E-2</c:v>
                </c:pt>
                <c:pt idx="38">
                  <c:v>4.7938629725513771E-2</c:v>
                </c:pt>
                <c:pt idx="39">
                  <c:v>4.732123742280292E-2</c:v>
                </c:pt>
                <c:pt idx="40">
                  <c:v>4.7733847835925935E-2</c:v>
                </c:pt>
                <c:pt idx="41">
                  <c:v>4.8160447348077895E-2</c:v>
                </c:pt>
                <c:pt idx="42">
                  <c:v>4.428030409343009E-2</c:v>
                </c:pt>
                <c:pt idx="43">
                  <c:v>3.9155478219169204E-2</c:v>
                </c:pt>
                <c:pt idx="44">
                  <c:v>3.72212520991968E-2</c:v>
                </c:pt>
                <c:pt idx="45">
                  <c:v>3.4326521230515272E-2</c:v>
                </c:pt>
                <c:pt idx="46">
                  <c:v>3.2173631566901228E-2</c:v>
                </c:pt>
                <c:pt idx="47">
                  <c:v>3.1849910357121036E-2</c:v>
                </c:pt>
                <c:pt idx="48">
                  <c:v>2.9465561689920872E-2</c:v>
                </c:pt>
                <c:pt idx="49">
                  <c:v>2.6506503596063435E-2</c:v>
                </c:pt>
                <c:pt idx="50">
                  <c:v>2.5502169991867607E-2</c:v>
                </c:pt>
                <c:pt idx="51">
                  <c:v>2.2838545055785975E-2</c:v>
                </c:pt>
                <c:pt idx="52">
                  <c:v>2.1442560662815247E-2</c:v>
                </c:pt>
                <c:pt idx="53">
                  <c:v>2.3599673090216378E-2</c:v>
                </c:pt>
                <c:pt idx="54">
                  <c:v>2.4514936185800362E-2</c:v>
                </c:pt>
                <c:pt idx="55">
                  <c:v>2.4029393875887095E-2</c:v>
                </c:pt>
                <c:pt idx="56">
                  <c:v>2.3543880874394407E-2</c:v>
                </c:pt>
                <c:pt idx="57">
                  <c:v>2.3058397188333579E-2</c:v>
                </c:pt>
                <c:pt idx="58">
                  <c:v>2.2572942824708342E-2</c:v>
                </c:pt>
                <c:pt idx="59">
                  <c:v>2.4373938382522553E-2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DB7-4C65-BDD8-6DF5B3D749DA}"/>
            </c:ext>
          </c:extLst>
        </c:ser>
        <c:ser>
          <c:idx val="3"/>
          <c:order val="3"/>
          <c:tx>
            <c:strRef>
              <c:f>'bootstrapping '!$Q$7</c:f>
              <c:strCache>
                <c:ptCount val="1"/>
                <c:pt idx="0">
                  <c:v>Par Yield</c:v>
                </c:pt>
              </c:strCache>
            </c:strRef>
          </c:tx>
          <c:marker>
            <c:symbol val="none"/>
          </c:marker>
          <c:xVal>
            <c:numRef>
              <c:f>'bootstrapping '!$M$8:$M$67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'bootstrapping '!$Q$8:$Q$67</c:f>
              <c:numCache>
                <c:formatCode>General</c:formatCode>
                <c:ptCount val="60"/>
                <c:pt idx="0">
                  <c:v>4.5612928406929397E-2</c:v>
                </c:pt>
                <c:pt idx="1">
                  <c:v>4.6961063412533532E-2</c:v>
                </c:pt>
                <c:pt idx="2">
                  <c:v>4.5040652924220347E-2</c:v>
                </c:pt>
                <c:pt idx="3">
                  <c:v>4.2217011727820213E-2</c:v>
                </c:pt>
                <c:pt idx="4">
                  <c:v>4.044929049043839E-2</c:v>
                </c:pt>
                <c:pt idx="5">
                  <c:v>3.9140116581622988E-2</c:v>
                </c:pt>
                <c:pt idx="6">
                  <c:v>3.8360921472305388E-2</c:v>
                </c:pt>
                <c:pt idx="7">
                  <c:v>3.7606981875162225E-2</c:v>
                </c:pt>
                <c:pt idx="8">
                  <c:v>3.7130754303731216E-2</c:v>
                </c:pt>
                <c:pt idx="9">
                  <c:v>3.669005735384457E-2</c:v>
                </c:pt>
                <c:pt idx="10">
                  <c:v>3.6715791395907138E-2</c:v>
                </c:pt>
                <c:pt idx="11">
                  <c:v>3.6650793788949913E-2</c:v>
                </c:pt>
                <c:pt idx="12">
                  <c:v>3.6385610381983756E-2</c:v>
                </c:pt>
                <c:pt idx="13">
                  <c:v>3.6131819578244878E-2</c:v>
                </c:pt>
                <c:pt idx="14">
                  <c:v>3.6018956456279241E-2</c:v>
                </c:pt>
                <c:pt idx="15">
                  <c:v>3.5908042014237772E-2</c:v>
                </c:pt>
                <c:pt idx="16">
                  <c:v>3.5798830457626815E-2</c:v>
                </c:pt>
                <c:pt idx="17">
                  <c:v>3.5691129415146475E-2</c:v>
                </c:pt>
                <c:pt idx="18">
                  <c:v>3.5584785837591386E-2</c:v>
                </c:pt>
                <c:pt idx="19">
                  <c:v>3.5492366218003155E-2</c:v>
                </c:pt>
                <c:pt idx="20">
                  <c:v>3.5428440377046844E-2</c:v>
                </c:pt>
                <c:pt idx="21">
                  <c:v>3.5365536310202277E-2</c:v>
                </c:pt>
                <c:pt idx="22">
                  <c:v>3.530356259952528E-2</c:v>
                </c:pt>
                <c:pt idx="23">
                  <c:v>3.5242442740908007E-2</c:v>
                </c:pt>
                <c:pt idx="24">
                  <c:v>3.5182112150670922E-2</c:v>
                </c:pt>
                <c:pt idx="25">
                  <c:v>3.5122515865296702E-2</c:v>
                </c:pt>
                <c:pt idx="26">
                  <c:v>3.5346521329111272E-2</c:v>
                </c:pt>
                <c:pt idx="27">
                  <c:v>3.5635087441079911E-2</c:v>
                </c:pt>
                <c:pt idx="28">
                  <c:v>3.5938667111714041E-2</c:v>
                </c:pt>
                <c:pt idx="29">
                  <c:v>3.6243965307510097E-2</c:v>
                </c:pt>
                <c:pt idx="30">
                  <c:v>3.6499293474485342E-2</c:v>
                </c:pt>
                <c:pt idx="31">
                  <c:v>3.6741666335861949E-2</c:v>
                </c:pt>
                <c:pt idx="32">
                  <c:v>3.6962002435119157E-2</c:v>
                </c:pt>
                <c:pt idx="33">
                  <c:v>3.7175884243863373E-2</c:v>
                </c:pt>
                <c:pt idx="34">
                  <c:v>3.738793265660105E-2</c:v>
                </c:pt>
                <c:pt idx="35">
                  <c:v>3.7715202656543344E-2</c:v>
                </c:pt>
                <c:pt idx="36">
                  <c:v>3.8065649841974497E-2</c:v>
                </c:pt>
                <c:pt idx="37">
                  <c:v>3.8254079295416923E-2</c:v>
                </c:pt>
                <c:pt idx="38">
                  <c:v>3.8403992747686341E-2</c:v>
                </c:pt>
                <c:pt idx="39">
                  <c:v>3.8552316333535057E-2</c:v>
                </c:pt>
                <c:pt idx="40">
                  <c:v>3.8699034576614486E-2</c:v>
                </c:pt>
                <c:pt idx="41">
                  <c:v>3.8844551153120417E-2</c:v>
                </c:pt>
                <c:pt idx="42">
                  <c:v>3.8864059049691667E-2</c:v>
                </c:pt>
                <c:pt idx="43">
                  <c:v>3.8853654243392384E-2</c:v>
                </c:pt>
                <c:pt idx="44">
                  <c:v>3.8819164476474606E-2</c:v>
                </c:pt>
                <c:pt idx="45">
                  <c:v>3.8733473984957599E-2</c:v>
                </c:pt>
                <c:pt idx="46">
                  <c:v>3.8647159800991503E-2</c:v>
                </c:pt>
                <c:pt idx="47">
                  <c:v>3.8560289028453737E-2</c:v>
                </c:pt>
                <c:pt idx="48">
                  <c:v>3.8422639385361022E-2</c:v>
                </c:pt>
                <c:pt idx="49">
                  <c:v>3.8272449410147978E-2</c:v>
                </c:pt>
                <c:pt idx="50">
                  <c:v>3.8121435483676927E-2</c:v>
                </c:pt>
                <c:pt idx="51">
                  <c:v>3.7921013898712427E-2</c:v>
                </c:pt>
                <c:pt idx="52">
                  <c:v>3.7749398502406772E-2</c:v>
                </c:pt>
                <c:pt idx="53">
                  <c:v>3.7608660197819957E-2</c:v>
                </c:pt>
                <c:pt idx="54">
                  <c:v>3.746743039917326E-2</c:v>
                </c:pt>
                <c:pt idx="55">
                  <c:v>3.732574020729304E-2</c:v>
                </c:pt>
                <c:pt idx="56">
                  <c:v>3.7183617006282005E-2</c:v>
                </c:pt>
                <c:pt idx="57">
                  <c:v>3.704108477415903E-2</c:v>
                </c:pt>
                <c:pt idx="58">
                  <c:v>3.6898164362234628E-2</c:v>
                </c:pt>
                <c:pt idx="59">
                  <c:v>3.6798644408357825E-2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D-4FA4-9A2A-F2369582B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2917876794110886"/>
          <c:h val="0.2707219215877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64908</xdr:colOff>
      <xdr:row>6</xdr:row>
      <xdr:rowOff>65207</xdr:rowOff>
    </xdr:from>
    <xdr:to>
      <xdr:col>24</xdr:col>
      <xdr:colOff>411772</xdr:colOff>
      <xdr:row>25</xdr:row>
      <xdr:rowOff>161923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E9F56E-AE13-4B0B-AF28-234945B39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67"/>
  <sheetViews>
    <sheetView tabSelected="1" zoomScale="115" zoomScaleNormal="115" workbookViewId="0">
      <selection activeCell="I15" sqref="I15"/>
    </sheetView>
  </sheetViews>
  <sheetFormatPr defaultRowHeight="12.75" x14ac:dyDescent="0.2"/>
  <cols>
    <col min="1" max="1" width="10.42578125" bestFit="1" customWidth="1"/>
    <col min="2" max="2" width="12.140625" bestFit="1" customWidth="1"/>
    <col min="3" max="3" width="8" bestFit="1" customWidth="1"/>
    <col min="4" max="4" width="13.140625" bestFit="1" customWidth="1"/>
    <col min="5" max="5" width="11.85546875" bestFit="1" customWidth="1"/>
    <col min="6" max="6" width="12" bestFit="1" customWidth="1"/>
    <col min="7" max="7" width="5.42578125" bestFit="1" customWidth="1"/>
    <col min="8" max="8" width="12" bestFit="1" customWidth="1"/>
    <col min="9" max="9" width="13.140625" bestFit="1" customWidth="1"/>
    <col min="10" max="10" width="8.5703125" bestFit="1" customWidth="1"/>
    <col min="11" max="11" width="13.140625" bestFit="1" customWidth="1"/>
    <col min="12" max="12" width="12" bestFit="1" customWidth="1"/>
    <col min="13" max="13" width="8.5703125" bestFit="1" customWidth="1"/>
    <col min="14" max="14" width="13.140625" bestFit="1" customWidth="1"/>
    <col min="15" max="15" width="12" customWidth="1"/>
    <col min="16" max="16" width="24.28515625" bestFit="1" customWidth="1"/>
    <col min="17" max="17" width="28.140625" bestFit="1" customWidth="1"/>
    <col min="18" max="18" width="18.5703125" customWidth="1"/>
    <col min="19" max="19" width="24.42578125" customWidth="1"/>
  </cols>
  <sheetData>
    <row r="1" spans="1:17" x14ac:dyDescent="0.2">
      <c r="A1" s="2" t="s">
        <v>0</v>
      </c>
      <c r="B1" s="11">
        <v>44937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7" x14ac:dyDescent="0.2">
      <c r="A2" s="2" t="s">
        <v>2</v>
      </c>
      <c r="B2" s="2">
        <v>100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1:17" x14ac:dyDescent="0.2">
      <c r="A3" s="2" t="s">
        <v>5</v>
      </c>
      <c r="B3" s="2">
        <v>2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1:17" x14ac:dyDescent="0.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1:17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 t="s">
        <v>18</v>
      </c>
      <c r="M5" s="10" t="s">
        <v>19</v>
      </c>
      <c r="N5" s="10"/>
      <c r="O5" s="10"/>
      <c r="P5" s="10"/>
      <c r="Q5" s="10"/>
    </row>
    <row r="6" spans="1:17" x14ac:dyDescent="0.2">
      <c r="A6" s="10"/>
      <c r="B6" s="10"/>
      <c r="C6" s="10"/>
      <c r="D6" s="10"/>
      <c r="E6" s="10"/>
      <c r="F6" s="10"/>
      <c r="G6" s="10"/>
      <c r="H6" s="10" t="s">
        <v>17</v>
      </c>
      <c r="I6" s="6" t="s">
        <v>9</v>
      </c>
      <c r="J6" s="2"/>
      <c r="K6" s="22" t="s">
        <v>12</v>
      </c>
      <c r="L6" s="22"/>
      <c r="M6" s="23" t="s">
        <v>16</v>
      </c>
      <c r="N6" s="23"/>
    </row>
    <row r="7" spans="1:17" x14ac:dyDescent="0.2">
      <c r="A7" s="20" t="s">
        <v>13</v>
      </c>
      <c r="B7" s="21" t="s">
        <v>14</v>
      </c>
      <c r="C7" s="21" t="s">
        <v>15</v>
      </c>
      <c r="D7" s="1" t="s">
        <v>1</v>
      </c>
      <c r="E7" s="1" t="s">
        <v>4</v>
      </c>
      <c r="F7" s="1" t="s">
        <v>6</v>
      </c>
      <c r="G7" s="6" t="s">
        <v>3</v>
      </c>
      <c r="H7" s="4" t="s">
        <v>7</v>
      </c>
      <c r="I7" s="6" t="s">
        <v>11</v>
      </c>
      <c r="J7" s="6" t="s">
        <v>1</v>
      </c>
      <c r="K7" s="9" t="s">
        <v>8</v>
      </c>
      <c r="L7" s="5" t="s">
        <v>10</v>
      </c>
      <c r="M7" s="8" t="s">
        <v>1</v>
      </c>
      <c r="N7" s="7" t="s">
        <v>8</v>
      </c>
      <c r="O7" s="10" t="s">
        <v>20</v>
      </c>
      <c r="P7" s="10" t="s">
        <v>21</v>
      </c>
      <c r="Q7" s="7" t="s">
        <v>22</v>
      </c>
    </row>
    <row r="8" spans="1:17" ht="13.5" thickBot="1" x14ac:dyDescent="0.25">
      <c r="A8" s="16">
        <v>45046</v>
      </c>
      <c r="B8" s="17">
        <v>2.75</v>
      </c>
      <c r="C8" s="18">
        <v>99.445999999999998</v>
      </c>
      <c r="D8" s="12">
        <f>(COUPNUM($B$1,A8,$B$3,1)-COUPDAYBS($B$1,A8,$B$3,1)/COUPDAYS($B$1,A8,$B$3,1))/$B$3</f>
        <v>0.30110497237569062</v>
      </c>
      <c r="E8" s="13">
        <f>$C8+COUPDAYBS($B$1,$A8,$B$3,1)/COUPDAYS($B$1,$A8,$B$3,1)*$B8/100/$B$3*$B$2</f>
        <v>99.992961325966846</v>
      </c>
      <c r="F8" s="10">
        <f>Bond_ZeroRates($B$2,$D8,$B8/100,$B$3,$D$8:$D$33,$H$8:$H$33)</f>
        <v>99.992962136102719</v>
      </c>
      <c r="G8" s="14">
        <f>F8-E8</f>
        <v>8.1013587305278634E-7</v>
      </c>
      <c r="H8" s="15">
        <v>4.6111312734462673E-2</v>
      </c>
      <c r="I8" s="3">
        <f t="array" ref="I8:I33">spline(D8:D33,H8:H33,0,0)</f>
        <v>-0.12363623633991146</v>
      </c>
      <c r="J8" s="10">
        <v>0.5</v>
      </c>
      <c r="K8" s="10">
        <f>PWLinear(J8,D$8:D$33,H$8:H$33)</f>
        <v>4.5612928406929536E-2</v>
      </c>
      <c r="L8" s="10">
        <f>splint(D$8:D$33,H$8:H$33,I$8:I$33,J8)</f>
        <v>4.5453241231413082E-2</v>
      </c>
      <c r="M8" s="10">
        <v>0.5</v>
      </c>
      <c r="N8" s="10">
        <f>K8</f>
        <v>4.5612928406929536E-2</v>
      </c>
      <c r="O8">
        <f>1/((1+K8/2)^(2*J8))</f>
        <v>0.97770207267782006</v>
      </c>
      <c r="P8">
        <f>SUM($O$8:O8)</f>
        <v>0.97770207267782006</v>
      </c>
      <c r="Q8">
        <f>2*((1-O8)/P8)</f>
        <v>4.5612928406929397E-2</v>
      </c>
    </row>
    <row r="9" spans="1:17" ht="13.5" thickBot="1" x14ac:dyDescent="0.25">
      <c r="A9" s="16">
        <v>45107</v>
      </c>
      <c r="B9" s="17">
        <v>2.625</v>
      </c>
      <c r="C9" s="18">
        <v>99.117000000000004</v>
      </c>
      <c r="D9" s="10">
        <f t="shared" ref="D9:D33" si="0">(COUPNUM($B$1,A9,$B$3,1)-COUPDAYBS($B$1,A9,$B$3,1)/COUPDAYS($B$1,A9,$B$3,1))/$B$3</f>
        <v>0.46961325966850831</v>
      </c>
      <c r="E9" s="10">
        <f t="shared" ref="E9:E33" si="1">$C9+COUPDAYBS($B$1,$A9,$B$3,1)/COUPDAYS($B$1,$A9,$B$3,1)*$B9/100/$B$3*$B$2</f>
        <v>99.196765193370169</v>
      </c>
      <c r="F9" s="10">
        <f t="shared" ref="F9:F33" si="2">Bond_ZeroRates($B$2,$D9,$B9/100,$B$3,$D$8:$D$33,$H$8:$H$33)</f>
        <v>99.196765110915308</v>
      </c>
      <c r="G9" s="14">
        <f t="shared" ref="G9:G33" si="3">F9-E9</f>
        <v>-8.245486071700725E-8</v>
      </c>
      <c r="H9" s="15">
        <v>4.5448650844403762E-2</v>
      </c>
      <c r="I9" s="3">
        <v>0.10724904125674334</v>
      </c>
      <c r="J9" s="10">
        <v>1</v>
      </c>
      <c r="K9" s="10">
        <f t="shared" ref="K9:K67" si="4">PWLinear(J9,D$8:D$33,H$8:H$33)</f>
        <v>4.6976901490607993E-2</v>
      </c>
      <c r="L9" s="10">
        <f t="shared" ref="L9:L67" si="5">splint(D$8:D$33,H$8:H$33,I$8:I$33,J9)</f>
        <v>4.7037521736610778E-2</v>
      </c>
      <c r="M9" s="10">
        <v>1</v>
      </c>
      <c r="N9" s="10">
        <f>K9</f>
        <v>4.6976901490607993E-2</v>
      </c>
      <c r="O9">
        <f t="shared" ref="O9:O67" si="6">1/((1+K9/2)^(2*J9))</f>
        <v>0.95462786561690227</v>
      </c>
      <c r="P9">
        <f>SUM($O$8:O9)</f>
        <v>1.9323299382947223</v>
      </c>
      <c r="Q9">
        <f t="shared" ref="Q9:Q67" si="7">2*((1-O9)/P9)</f>
        <v>4.6961063412533532E-2</v>
      </c>
    </row>
    <row r="10" spans="1:17" ht="13.5" thickBot="1" x14ac:dyDescent="0.25">
      <c r="A10" s="16">
        <v>45199</v>
      </c>
      <c r="B10" s="17">
        <v>2.875</v>
      </c>
      <c r="C10" s="18">
        <v>98.742000000000004</v>
      </c>
      <c r="D10" s="10">
        <f t="shared" si="0"/>
        <v>0.71546961325966851</v>
      </c>
      <c r="E10" s="10">
        <f t="shared" si="1"/>
        <v>99.56002486187846</v>
      </c>
      <c r="F10" s="10">
        <f t="shared" si="2"/>
        <v>99.560024773104232</v>
      </c>
      <c r="G10" s="14">
        <f t="shared" si="3"/>
        <v>-8.8774228856891568E-8</v>
      </c>
      <c r="H10" s="15">
        <v>4.6777805668475947E-2</v>
      </c>
      <c r="I10" s="19">
        <v>-4.8866869924943351E-2</v>
      </c>
      <c r="J10" s="10">
        <v>1.5</v>
      </c>
      <c r="K10" s="10">
        <f t="shared" si="4"/>
        <v>4.5007233822404444E-2</v>
      </c>
      <c r="L10" s="10">
        <f t="shared" si="5"/>
        <v>4.5014108568294534E-2</v>
      </c>
      <c r="M10" s="10">
        <v>1.5</v>
      </c>
      <c r="N10" s="10">
        <f>2*(((1+K10/2)^J10/(1+K8/2)^J8)^(1/(J10-J8))-1)</f>
        <v>4.4704453787007381E-2</v>
      </c>
      <c r="O10">
        <f t="shared" si="6"/>
        <v>0.93541739386883127</v>
      </c>
      <c r="P10">
        <f>SUM($O$8:O10)</f>
        <v>2.8677473321635536</v>
      </c>
      <c r="Q10">
        <f t="shared" si="7"/>
        <v>4.5040652924220347E-2</v>
      </c>
    </row>
    <row r="11" spans="1:17" ht="13.5" thickBot="1" x14ac:dyDescent="0.25">
      <c r="A11" s="16">
        <v>45291</v>
      </c>
      <c r="B11" s="17">
        <v>2.625</v>
      </c>
      <c r="C11" s="18">
        <v>98.046999999999997</v>
      </c>
      <c r="D11" s="10">
        <f t="shared" si="0"/>
        <v>0.96961325966850831</v>
      </c>
      <c r="E11" s="10">
        <f t="shared" si="1"/>
        <v>98.126765193370161</v>
      </c>
      <c r="F11" s="10">
        <f t="shared" si="2"/>
        <v>98.126765038949046</v>
      </c>
      <c r="G11" s="14">
        <f t="shared" si="3"/>
        <v>-1.5442111589436536E-7</v>
      </c>
      <c r="H11" s="15">
        <v>4.7092660447633876E-2</v>
      </c>
      <c r="I11" s="19">
        <v>-9.8567448020847187E-3</v>
      </c>
      <c r="J11" s="10">
        <v>2</v>
      </c>
      <c r="K11" s="10">
        <f t="shared" si="4"/>
        <v>4.2103202022873223E-2</v>
      </c>
      <c r="L11" s="10">
        <f t="shared" si="5"/>
        <v>4.2064817276914392E-2</v>
      </c>
      <c r="M11" s="10">
        <v>2</v>
      </c>
      <c r="N11" s="10">
        <f t="shared" ref="N11:N67" si="8">2*(((1+K11/2)^J11/(1+K9/2)^J9)^(1/(J11-J9))-1)</f>
        <v>3.7241106470397245E-2</v>
      </c>
      <c r="O11">
        <f t="shared" si="6"/>
        <v>0.92004535583412517</v>
      </c>
      <c r="P11">
        <f>SUM($O$8:O11)</f>
        <v>3.7877926879976789</v>
      </c>
      <c r="Q11">
        <f t="shared" si="7"/>
        <v>4.2217011727820213E-2</v>
      </c>
    </row>
    <row r="12" spans="1:17" ht="13.5" thickBot="1" x14ac:dyDescent="0.25">
      <c r="A12" s="16">
        <v>45473</v>
      </c>
      <c r="B12" s="17">
        <v>3</v>
      </c>
      <c r="C12" s="18">
        <v>97.86</v>
      </c>
      <c r="D12" s="10">
        <f t="shared" si="0"/>
        <v>1.4696132596685083</v>
      </c>
      <c r="E12" s="10">
        <f t="shared" si="1"/>
        <v>97.951160220994481</v>
      </c>
      <c r="F12" s="10">
        <f t="shared" si="2"/>
        <v>97.951160243373053</v>
      </c>
      <c r="G12" s="14">
        <f t="shared" si="3"/>
        <v>2.2378571884473786E-8</v>
      </c>
      <c r="H12" s="15">
        <v>4.5187899427480666E-2</v>
      </c>
      <c r="I12" s="19">
        <v>-6.0088709055356694E-3</v>
      </c>
      <c r="J12" s="10">
        <v>2.5</v>
      </c>
      <c r="K12" s="10">
        <f t="shared" si="4"/>
        <v>4.0289619106376615E-2</v>
      </c>
      <c r="L12" s="10">
        <f t="shared" si="5"/>
        <v>4.0283063681705984E-2</v>
      </c>
      <c r="M12" s="10">
        <v>2.5</v>
      </c>
      <c r="N12" s="10">
        <f t="shared" si="8"/>
        <v>3.3233594878099737E-2</v>
      </c>
      <c r="O12">
        <f t="shared" si="6"/>
        <v>0.90508814987591946</v>
      </c>
      <c r="P12">
        <f>SUM($O$8:O12)</f>
        <v>4.6928808378735987</v>
      </c>
      <c r="Q12">
        <f t="shared" si="7"/>
        <v>4.044929049043839E-2</v>
      </c>
    </row>
    <row r="13" spans="1:17" ht="13.5" thickBot="1" x14ac:dyDescent="0.25">
      <c r="A13" s="16">
        <v>45657</v>
      </c>
      <c r="B13" s="17">
        <v>4.25</v>
      </c>
      <c r="C13" s="18">
        <v>100.03100000000001</v>
      </c>
      <c r="D13" s="10">
        <f t="shared" si="0"/>
        <v>1.9696132596685083</v>
      </c>
      <c r="E13" s="10">
        <f t="shared" si="1"/>
        <v>100.16014364640884</v>
      </c>
      <c r="F13" s="10">
        <f t="shared" si="2"/>
        <v>100.16014412229841</v>
      </c>
      <c r="G13" s="14">
        <f t="shared" si="3"/>
        <v>4.7588956419986062E-7</v>
      </c>
      <c r="H13" s="15">
        <v>4.221512901668098E-2</v>
      </c>
      <c r="I13" s="19">
        <v>8.2600030487119894E-3</v>
      </c>
      <c r="J13" s="10">
        <v>3</v>
      </c>
      <c r="K13" s="10">
        <f t="shared" si="4"/>
        <v>3.8946243106148415E-2</v>
      </c>
      <c r="L13" s="10">
        <f t="shared" si="5"/>
        <v>3.8924174786515109E-2</v>
      </c>
      <c r="M13" s="10">
        <v>3</v>
      </c>
      <c r="N13" s="10">
        <f t="shared" si="8"/>
        <v>3.2646959088161065E-2</v>
      </c>
      <c r="O13">
        <f t="shared" si="6"/>
        <v>0.89072844094049231</v>
      </c>
      <c r="P13">
        <f>SUM($O$8:O13)</f>
        <v>5.583609278814091</v>
      </c>
      <c r="Q13">
        <f t="shared" si="7"/>
        <v>3.9140116581622988E-2</v>
      </c>
    </row>
    <row r="14" spans="1:17" ht="13.5" thickBot="1" x14ac:dyDescent="0.25">
      <c r="A14" s="16">
        <v>45838</v>
      </c>
      <c r="B14" s="17">
        <v>2.75</v>
      </c>
      <c r="C14" s="18">
        <v>96.977000000000004</v>
      </c>
      <c r="D14" s="10">
        <f t="shared" si="0"/>
        <v>2.4696132596685083</v>
      </c>
      <c r="E14" s="10">
        <f t="shared" si="1"/>
        <v>97.060563535911612</v>
      </c>
      <c r="F14" s="10">
        <f t="shared" si="2"/>
        <v>97.060563457793123</v>
      </c>
      <c r="G14" s="14">
        <f t="shared" si="3"/>
        <v>-7.8118489454936935E-8</v>
      </c>
      <c r="H14" s="15">
        <v>4.0373421209480662E-2</v>
      </c>
      <c r="I14" s="19">
        <v>1.1436119707251716E-4</v>
      </c>
      <c r="J14" s="10">
        <v>3.5</v>
      </c>
      <c r="K14" s="10">
        <f t="shared" si="4"/>
        <v>3.8152268693397023E-2</v>
      </c>
      <c r="L14" s="10">
        <f t="shared" si="5"/>
        <v>3.8019572633436492E-2</v>
      </c>
      <c r="M14" s="10">
        <v>3.5</v>
      </c>
      <c r="N14" s="10">
        <f t="shared" si="8"/>
        <v>3.2818683280822381E-2</v>
      </c>
      <c r="O14">
        <f t="shared" si="6"/>
        <v>0.8760998035782056</v>
      </c>
      <c r="P14">
        <f>SUM($O$8:O14)</f>
        <v>6.4597090823922967</v>
      </c>
      <c r="Q14">
        <f t="shared" si="7"/>
        <v>3.8360921472305388E-2</v>
      </c>
    </row>
    <row r="15" spans="1:17" ht="13.5" thickBot="1" x14ac:dyDescent="0.25">
      <c r="A15" s="16">
        <v>46022</v>
      </c>
      <c r="B15" s="17">
        <v>2.625</v>
      </c>
      <c r="C15" s="18">
        <v>96.421999999999997</v>
      </c>
      <c r="D15" s="10">
        <f t="shared" si="0"/>
        <v>2.9696132596685083</v>
      </c>
      <c r="E15" s="10">
        <f t="shared" si="1"/>
        <v>96.501765193370161</v>
      </c>
      <c r="F15" s="10">
        <f t="shared" si="2"/>
        <v>96.501764807682164</v>
      </c>
      <c r="G15" s="14">
        <f t="shared" si="3"/>
        <v>-3.8568799709537416E-7</v>
      </c>
      <c r="H15" s="15">
        <v>3.8994495694768663E-2</v>
      </c>
      <c r="I15" s="19">
        <v>2.3893271827176254E-3</v>
      </c>
      <c r="J15" s="10">
        <v>4</v>
      </c>
      <c r="K15" s="10">
        <f t="shared" si="4"/>
        <v>3.7377099154682986E-2</v>
      </c>
      <c r="L15" s="10">
        <f t="shared" si="5"/>
        <v>3.7368226923260583E-2</v>
      </c>
      <c r="M15" s="10">
        <v>4</v>
      </c>
      <c r="N15" s="10">
        <f t="shared" si="8"/>
        <v>3.2676909128469322E-2</v>
      </c>
      <c r="O15">
        <f t="shared" si="6"/>
        <v>0.86232028710593722</v>
      </c>
      <c r="P15">
        <f>SUM($O$8:O15)</f>
        <v>7.3220293694982335</v>
      </c>
      <c r="Q15">
        <f t="shared" si="7"/>
        <v>3.7606981875162225E-2</v>
      </c>
    </row>
    <row r="16" spans="1:17" ht="13.5" thickBot="1" x14ac:dyDescent="0.25">
      <c r="A16" s="16">
        <v>46387</v>
      </c>
      <c r="B16" s="17">
        <v>1.75</v>
      </c>
      <c r="C16" s="18">
        <v>92.68</v>
      </c>
      <c r="D16" s="10">
        <f t="shared" si="0"/>
        <v>3.9696132596685083</v>
      </c>
      <c r="E16" s="10">
        <f t="shared" si="1"/>
        <v>92.733176795580121</v>
      </c>
      <c r="F16" s="10">
        <f t="shared" si="2"/>
        <v>92.733176987077002</v>
      </c>
      <c r="G16" s="14">
        <f t="shared" si="3"/>
        <v>1.914968805749595E-7</v>
      </c>
      <c r="H16" s="15">
        <v>3.7406546869265887E-2</v>
      </c>
      <c r="I16" s="19">
        <v>-2.0574892316180992E-4</v>
      </c>
      <c r="J16" s="10">
        <v>4.5</v>
      </c>
      <c r="K16" s="10">
        <f t="shared" si="4"/>
        <v>3.6892550396546146E-2</v>
      </c>
      <c r="L16" s="10">
        <f t="shared" si="5"/>
        <v>3.6768716680723762E-2</v>
      </c>
      <c r="M16" s="10">
        <v>4.5</v>
      </c>
      <c r="N16" s="10">
        <f t="shared" si="8"/>
        <v>3.2489664616658587E-2</v>
      </c>
      <c r="O16">
        <f t="shared" si="6"/>
        <v>0.84831448488298533</v>
      </c>
      <c r="P16">
        <f>SUM($O$8:O16)</f>
        <v>8.170343854381219</v>
      </c>
      <c r="Q16">
        <f t="shared" si="7"/>
        <v>3.7130754303731216E-2</v>
      </c>
    </row>
    <row r="17" spans="1:17" ht="13.5" thickBot="1" x14ac:dyDescent="0.25">
      <c r="A17" s="16">
        <v>46752</v>
      </c>
      <c r="B17" s="17">
        <v>3.875</v>
      </c>
      <c r="C17" s="18">
        <v>100.922</v>
      </c>
      <c r="D17" s="10">
        <f t="shared" si="0"/>
        <v>4.9696132596685079</v>
      </c>
      <c r="E17" s="10">
        <f t="shared" si="1"/>
        <v>101.03974861878453</v>
      </c>
      <c r="F17" s="10">
        <f t="shared" si="2"/>
        <v>101.03974852683331</v>
      </c>
      <c r="G17" s="14">
        <f t="shared" si="3"/>
        <v>-9.1951221747876843E-8</v>
      </c>
      <c r="H17" s="15">
        <v>3.6437449352992216E-2</v>
      </c>
      <c r="I17" s="19">
        <v>2.1467763653042382E-3</v>
      </c>
      <c r="J17" s="10">
        <v>5</v>
      </c>
      <c r="K17" s="10">
        <f t="shared" si="4"/>
        <v>3.6440531802058078E-2</v>
      </c>
      <c r="L17" s="10">
        <f t="shared" si="5"/>
        <v>3.642967509232628E-2</v>
      </c>
      <c r="M17" s="10">
        <v>5</v>
      </c>
      <c r="N17" s="10">
        <f t="shared" si="8"/>
        <v>3.2698565744511132E-2</v>
      </c>
      <c r="O17">
        <f t="shared" si="6"/>
        <v>0.83480037094654114</v>
      </c>
      <c r="P17">
        <f>SUM($O$8:O17)</f>
        <v>9.0051442253277596</v>
      </c>
      <c r="Q17">
        <f t="shared" si="7"/>
        <v>3.669005735384457E-2</v>
      </c>
    </row>
    <row r="18" spans="1:17" ht="13.5" thickBot="1" x14ac:dyDescent="0.25">
      <c r="A18" s="16">
        <v>47072</v>
      </c>
      <c r="B18" s="17">
        <v>3.125</v>
      </c>
      <c r="C18" s="18">
        <v>97.149000000000001</v>
      </c>
      <c r="D18" s="10">
        <f t="shared" si="0"/>
        <v>5.8425414364640886</v>
      </c>
      <c r="E18" s="10">
        <f t="shared" si="1"/>
        <v>97.641058011049722</v>
      </c>
      <c r="F18" s="10">
        <f t="shared" si="2"/>
        <v>97.641057721899514</v>
      </c>
      <c r="G18" s="14">
        <f t="shared" si="3"/>
        <v>-2.8915020777731115E-7</v>
      </c>
      <c r="H18" s="15">
        <v>3.6525999707975161E-2</v>
      </c>
      <c r="I18" s="19">
        <v>-1.6181609498608089E-3</v>
      </c>
      <c r="J18" s="10">
        <v>5.5</v>
      </c>
      <c r="K18" s="10">
        <f t="shared" si="4"/>
        <v>3.6491252100323626E-2</v>
      </c>
      <c r="L18" s="10">
        <f t="shared" si="5"/>
        <v>3.6479508495074121E-2</v>
      </c>
      <c r="M18" s="10">
        <v>5.5</v>
      </c>
      <c r="N18" s="10">
        <f t="shared" si="8"/>
        <v>3.4686387931822882E-2</v>
      </c>
      <c r="O18">
        <f t="shared" si="6"/>
        <v>0.81963767855340786</v>
      </c>
      <c r="P18">
        <f>SUM($O$8:O18)</f>
        <v>9.824781903881167</v>
      </c>
      <c r="Q18">
        <f t="shared" si="7"/>
        <v>3.6715791395907138E-2</v>
      </c>
    </row>
    <row r="19" spans="1:17" ht="13.5" thickBot="1" x14ac:dyDescent="0.25">
      <c r="A19" s="16">
        <v>47483</v>
      </c>
      <c r="B19" s="17">
        <v>3.875</v>
      </c>
      <c r="C19" s="18">
        <v>101.586</v>
      </c>
      <c r="D19" s="10">
        <f t="shared" si="0"/>
        <v>6.9696132596685079</v>
      </c>
      <c r="E19" s="10">
        <f t="shared" si="1"/>
        <v>101.70374861878453</v>
      </c>
      <c r="F19" s="10">
        <f t="shared" si="2"/>
        <v>101.70374877691344</v>
      </c>
      <c r="G19" s="14">
        <f t="shared" si="3"/>
        <v>1.5812891263067286E-7</v>
      </c>
      <c r="H19" s="15">
        <v>3.5899327358915975E-2</v>
      </c>
      <c r="I19" s="19">
        <v>5.8018481740442721E-4</v>
      </c>
      <c r="J19" s="10">
        <v>6</v>
      </c>
      <c r="K19" s="10">
        <f t="shared" si="4"/>
        <v>3.6438449894503656E-2</v>
      </c>
      <c r="L19" s="10">
        <f t="shared" si="5"/>
        <v>3.6498222118655367E-2</v>
      </c>
      <c r="M19" s="10">
        <v>6</v>
      </c>
      <c r="N19" s="10">
        <f t="shared" si="8"/>
        <v>3.6428040388657212E-2</v>
      </c>
      <c r="O19">
        <f t="shared" si="6"/>
        <v>0.80520133810891414</v>
      </c>
      <c r="P19">
        <f>SUM($O$8:O19)</f>
        <v>10.629983241990081</v>
      </c>
      <c r="Q19">
        <f t="shared" si="7"/>
        <v>3.6650793788949913E-2</v>
      </c>
    </row>
    <row r="20" spans="1:17" ht="13.5" thickBot="1" x14ac:dyDescent="0.25">
      <c r="A20" s="16">
        <v>48533</v>
      </c>
      <c r="B20" s="17">
        <v>4.125</v>
      </c>
      <c r="C20" s="18">
        <v>104.696</v>
      </c>
      <c r="D20" s="10">
        <f t="shared" si="0"/>
        <v>9.8425414364640886</v>
      </c>
      <c r="E20" s="10">
        <f t="shared" si="1"/>
        <v>105.34551657458563</v>
      </c>
      <c r="F20" s="10">
        <f t="shared" si="2"/>
        <v>105.34551593260315</v>
      </c>
      <c r="G20" s="14">
        <f t="shared" si="3"/>
        <v>-6.4198248139746283E-7</v>
      </c>
      <c r="H20" s="15">
        <v>3.525923810696617E-2</v>
      </c>
      <c r="I20" s="19">
        <v>-2.8486198714300798E-4</v>
      </c>
      <c r="J20" s="10">
        <v>6.5</v>
      </c>
      <c r="K20" s="10">
        <f t="shared" si="4"/>
        <v>3.6160440837690634E-2</v>
      </c>
      <c r="L20" s="10">
        <f t="shared" si="5"/>
        <v>3.6231132974598186E-2</v>
      </c>
      <c r="M20" s="10">
        <v>6.5</v>
      </c>
      <c r="N20" s="10">
        <f t="shared" si="8"/>
        <v>3.4341939218256012E-2</v>
      </c>
      <c r="O20">
        <f t="shared" si="6"/>
        <v>0.79219847319944747</v>
      </c>
      <c r="P20">
        <f>SUM($O$8:O20)</f>
        <v>11.422181715189527</v>
      </c>
      <c r="Q20">
        <f t="shared" si="7"/>
        <v>3.6385610381983756E-2</v>
      </c>
    </row>
    <row r="21" spans="1:17" ht="13.5" thickBot="1" x14ac:dyDescent="0.25">
      <c r="A21" s="16">
        <v>49720</v>
      </c>
      <c r="B21" s="17">
        <v>4.5</v>
      </c>
      <c r="C21" s="18">
        <v>110.24299999999999</v>
      </c>
      <c r="D21" s="10">
        <f t="shared" si="0"/>
        <v>13.095108695652174</v>
      </c>
      <c r="E21" s="10">
        <f t="shared" si="1"/>
        <v>112.06501086956521</v>
      </c>
      <c r="F21" s="10">
        <f t="shared" si="2"/>
        <v>112.06501179137067</v>
      </c>
      <c r="G21" s="14">
        <f t="shared" si="3"/>
        <v>9.2180545152587001E-7</v>
      </c>
      <c r="H21" s="15">
        <v>3.4843304112226053E-2</v>
      </c>
      <c r="I21" s="19">
        <v>7.3558571791171041E-4</v>
      </c>
      <c r="J21" s="10">
        <v>7</v>
      </c>
      <c r="K21" s="10">
        <f t="shared" si="4"/>
        <v>3.589255718413574E-2</v>
      </c>
      <c r="L21" s="10">
        <f t="shared" si="5"/>
        <v>3.5880085155028288E-2</v>
      </c>
      <c r="M21" s="10">
        <v>7</v>
      </c>
      <c r="N21" s="10">
        <f t="shared" si="8"/>
        <v>3.2620272549623852E-2</v>
      </c>
      <c r="O21">
        <f t="shared" si="6"/>
        <v>0.77956435620441789</v>
      </c>
      <c r="P21">
        <f>SUM($O$8:O21)</f>
        <v>12.201746071393945</v>
      </c>
      <c r="Q21">
        <f t="shared" si="7"/>
        <v>3.6131819578244878E-2</v>
      </c>
    </row>
    <row r="22" spans="1:17" ht="13.5" thickBot="1" x14ac:dyDescent="0.25">
      <c r="A22" s="16">
        <v>50086</v>
      </c>
      <c r="B22" s="17">
        <v>4.75</v>
      </c>
      <c r="C22" s="18">
        <v>112.961</v>
      </c>
      <c r="D22" s="10">
        <f t="shared" si="0"/>
        <v>14.095108695652174</v>
      </c>
      <c r="E22" s="10">
        <f t="shared" si="1"/>
        <v>114.88423369565217</v>
      </c>
      <c r="F22" s="10">
        <f t="shared" si="2"/>
        <v>114.88423353993656</v>
      </c>
      <c r="G22" s="14">
        <f t="shared" si="3"/>
        <v>-1.5571561107208254E-7</v>
      </c>
      <c r="H22" s="15">
        <v>3.5592742266178201E-2</v>
      </c>
      <c r="I22" s="19">
        <v>-6.5821728090832015E-5</v>
      </c>
      <c r="J22" s="10">
        <v>7.5</v>
      </c>
      <c r="K22" s="10">
        <f t="shared" si="4"/>
        <v>3.5781157035479086E-2</v>
      </c>
      <c r="L22" s="10">
        <f t="shared" si="5"/>
        <v>3.5632931015304944E-2</v>
      </c>
      <c r="M22" s="10">
        <v>7.5</v>
      </c>
      <c r="N22" s="10">
        <f t="shared" si="8"/>
        <v>3.3317533844438252E-2</v>
      </c>
      <c r="O22">
        <f t="shared" si="6"/>
        <v>0.7664495630629925</v>
      </c>
      <c r="P22">
        <f>SUM($O$8:O22)</f>
        <v>12.968195634456938</v>
      </c>
      <c r="Q22">
        <f t="shared" si="7"/>
        <v>3.6018956456279241E-2</v>
      </c>
    </row>
    <row r="23" spans="1:17" ht="13.5" thickBot="1" x14ac:dyDescent="0.25">
      <c r="A23" s="16">
        <v>50451</v>
      </c>
      <c r="B23" s="17">
        <v>4.375</v>
      </c>
      <c r="C23" s="18">
        <v>108.61</v>
      </c>
      <c r="D23" s="10">
        <f t="shared" si="0"/>
        <v>15.095108695652174</v>
      </c>
      <c r="E23" s="10">
        <f t="shared" si="1"/>
        <v>110.38139945652173</v>
      </c>
      <c r="F23" s="10">
        <f t="shared" si="2"/>
        <v>110.38139993332314</v>
      </c>
      <c r="G23" s="14">
        <f t="shared" si="3"/>
        <v>4.7680140369266155E-7</v>
      </c>
      <c r="H23" s="15">
        <v>3.6395804651987503E-2</v>
      </c>
      <c r="I23" s="10">
        <v>-1.5055341440546052E-4</v>
      </c>
      <c r="J23" s="10">
        <v>8</v>
      </c>
      <c r="K23" s="10">
        <f t="shared" si="4"/>
        <v>3.5669756886822439E-2</v>
      </c>
      <c r="L23" s="10">
        <f t="shared" si="5"/>
        <v>3.549089784279974E-2</v>
      </c>
      <c r="M23" s="10">
        <v>8</v>
      </c>
      <c r="N23" s="10">
        <f t="shared" si="8"/>
        <v>3.4110837363778401E-2</v>
      </c>
      <c r="O23">
        <f t="shared" si="6"/>
        <v>0.75363791224630139</v>
      </c>
      <c r="P23">
        <f>SUM($O$8:O23)</f>
        <v>13.721833546703239</v>
      </c>
      <c r="Q23">
        <f t="shared" si="7"/>
        <v>3.5908042014237772E-2</v>
      </c>
    </row>
    <row r="24" spans="1:17" ht="13.5" thickBot="1" x14ac:dyDescent="0.25">
      <c r="A24" s="16">
        <v>50816</v>
      </c>
      <c r="B24" s="17">
        <v>3.5</v>
      </c>
      <c r="C24" s="18">
        <v>97.828999999999994</v>
      </c>
      <c r="D24" s="10">
        <f t="shared" si="0"/>
        <v>16.095108695652176</v>
      </c>
      <c r="E24" s="10">
        <f t="shared" si="1"/>
        <v>99.246119565217384</v>
      </c>
      <c r="F24" s="10">
        <f t="shared" si="2"/>
        <v>99.246119767815017</v>
      </c>
      <c r="G24" s="14">
        <f t="shared" si="3"/>
        <v>2.0259763289232069E-7</v>
      </c>
      <c r="H24" s="15">
        <v>3.704177118881842E-2</v>
      </c>
      <c r="I24" s="10">
        <v>-2.7453970815763363E-4</v>
      </c>
      <c r="J24" s="10">
        <v>8.5</v>
      </c>
      <c r="K24" s="10">
        <f t="shared" si="4"/>
        <v>3.5558356738165792E-2</v>
      </c>
      <c r="L24" s="10">
        <f t="shared" si="5"/>
        <v>3.5416347783757136E-2</v>
      </c>
      <c r="M24" s="10">
        <v>8.5</v>
      </c>
      <c r="N24" s="10">
        <f t="shared" si="8"/>
        <v>3.3888131555975587E-2</v>
      </c>
      <c r="O24">
        <f t="shared" si="6"/>
        <v>0.74112156108992244</v>
      </c>
      <c r="P24">
        <f>SUM($O$8:O24)</f>
        <v>14.462955107793162</v>
      </c>
      <c r="Q24">
        <f t="shared" si="7"/>
        <v>3.5798830457626815E-2</v>
      </c>
    </row>
    <row r="25" spans="1:17" ht="13.5" thickBot="1" x14ac:dyDescent="0.25">
      <c r="A25" s="16">
        <v>51363</v>
      </c>
      <c r="B25" s="17">
        <v>3.875</v>
      </c>
      <c r="C25" s="18">
        <v>101.70399999999999</v>
      </c>
      <c r="D25" s="10">
        <f t="shared" si="0"/>
        <v>17.595108695652176</v>
      </c>
      <c r="E25" s="10">
        <f t="shared" si="1"/>
        <v>103.27295380434782</v>
      </c>
      <c r="F25" s="10">
        <f t="shared" si="2"/>
        <v>103.27295307330414</v>
      </c>
      <c r="G25" s="14">
        <f t="shared" si="3"/>
        <v>-7.3104368425447319E-7</v>
      </c>
      <c r="H25" s="15">
        <v>3.7908187480001146E-2</v>
      </c>
      <c r="I25" s="10">
        <v>7.4207859929268814E-4</v>
      </c>
      <c r="J25" s="10">
        <v>9</v>
      </c>
      <c r="K25" s="10">
        <f t="shared" si="4"/>
        <v>3.5446956589509145E-2</v>
      </c>
      <c r="L25" s="10">
        <f t="shared" si="5"/>
        <v>3.5371642984421581E-2</v>
      </c>
      <c r="M25" s="10">
        <v>9</v>
      </c>
      <c r="N25" s="10">
        <f t="shared" si="8"/>
        <v>3.3665431849779548E-2</v>
      </c>
      <c r="O25">
        <f t="shared" si="6"/>
        <v>0.72889289346591402</v>
      </c>
      <c r="P25">
        <f>SUM($O$8:O25)</f>
        <v>15.191848001259077</v>
      </c>
      <c r="Q25">
        <f t="shared" si="7"/>
        <v>3.5691129415146475E-2</v>
      </c>
    </row>
    <row r="26" spans="1:17" ht="13.5" thickBot="1" x14ac:dyDescent="0.25">
      <c r="A26" s="16">
        <v>51728</v>
      </c>
      <c r="B26" s="17">
        <v>3.75</v>
      </c>
      <c r="C26" s="18">
        <v>99.149000000000001</v>
      </c>
      <c r="D26" s="10">
        <f t="shared" si="0"/>
        <v>18.595108695652176</v>
      </c>
      <c r="E26" s="10">
        <f t="shared" si="1"/>
        <v>100.66734239130435</v>
      </c>
      <c r="F26" s="10">
        <f t="shared" si="2"/>
        <v>100.66734223669883</v>
      </c>
      <c r="G26" s="14">
        <f t="shared" si="3"/>
        <v>-1.5460551594514982E-7</v>
      </c>
      <c r="H26" s="15">
        <v>3.8902901265571478E-2</v>
      </c>
      <c r="I26" s="10">
        <v>-7.9596588553589953E-4</v>
      </c>
      <c r="J26" s="10">
        <v>9.5</v>
      </c>
      <c r="K26" s="10">
        <f t="shared" si="4"/>
        <v>3.5335556440852491E-2</v>
      </c>
      <c r="L26" s="10">
        <f t="shared" si="5"/>
        <v>3.5319145591037528E-2</v>
      </c>
      <c r="M26" s="10">
        <v>9.5</v>
      </c>
      <c r="N26" s="10">
        <f t="shared" si="8"/>
        <v>3.3442738245854198E-2</v>
      </c>
      <c r="O26">
        <f t="shared" si="6"/>
        <v>0.71694451272755433</v>
      </c>
      <c r="P26">
        <f>SUM($O$8:O26)</f>
        <v>15.908792513986631</v>
      </c>
      <c r="Q26">
        <f t="shared" si="7"/>
        <v>3.5584785837591386E-2</v>
      </c>
    </row>
    <row r="27" spans="1:17" ht="13.5" thickBot="1" x14ac:dyDescent="0.25">
      <c r="A27" s="16">
        <v>52550</v>
      </c>
      <c r="B27" s="17">
        <v>3.75</v>
      </c>
      <c r="C27" s="18">
        <v>98.117999999999995</v>
      </c>
      <c r="D27" s="10">
        <f t="shared" si="0"/>
        <v>20.842541436464089</v>
      </c>
      <c r="E27" s="10">
        <f t="shared" si="1"/>
        <v>98.708469613259666</v>
      </c>
      <c r="F27" s="10">
        <f t="shared" si="2"/>
        <v>98.708469024828133</v>
      </c>
      <c r="G27" s="14">
        <f t="shared" si="3"/>
        <v>-5.8843153283305583E-7</v>
      </c>
      <c r="H27" s="15">
        <v>3.9828370081974887E-2</v>
      </c>
      <c r="I27" s="10">
        <v>4.1383485631383654E-4</v>
      </c>
      <c r="J27" s="10">
        <v>10</v>
      </c>
      <c r="K27" s="10">
        <f t="shared" si="4"/>
        <v>3.523910251433468E-2</v>
      </c>
      <c r="L27" s="10">
        <f t="shared" si="5"/>
        <v>3.5221617794944322E-2</v>
      </c>
      <c r="M27" s="10">
        <v>10</v>
      </c>
      <c r="N27" s="10">
        <f t="shared" si="8"/>
        <v>3.3369370723822289E-2</v>
      </c>
      <c r="O27">
        <f t="shared" si="6"/>
        <v>0.70516565614750681</v>
      </c>
      <c r="P27">
        <f>SUM($O$8:O27)</f>
        <v>16.613958170134136</v>
      </c>
      <c r="Q27">
        <f t="shared" si="7"/>
        <v>3.5492366218003155E-2</v>
      </c>
    </row>
    <row r="28" spans="1:17" ht="13.5" thickBot="1" x14ac:dyDescent="0.25">
      <c r="A28" s="16">
        <v>52642</v>
      </c>
      <c r="B28" s="17">
        <v>3.625</v>
      </c>
      <c r="C28" s="18">
        <v>96.18</v>
      </c>
      <c r="D28" s="10">
        <f t="shared" si="0"/>
        <v>21.095108695652176</v>
      </c>
      <c r="E28" s="10">
        <f t="shared" si="1"/>
        <v>97.647730978260881</v>
      </c>
      <c r="F28" s="10">
        <f t="shared" si="2"/>
        <v>97.647730859444266</v>
      </c>
      <c r="G28" s="14">
        <f t="shared" si="3"/>
        <v>-1.1881661521329079E-7</v>
      </c>
      <c r="H28" s="15">
        <v>3.9933437216128194E-2</v>
      </c>
      <c r="I28" s="10">
        <v>-1.0098321690023451E-3</v>
      </c>
      <c r="J28" s="10">
        <v>10.5</v>
      </c>
      <c r="K28" s="10">
        <f t="shared" si="4"/>
        <v>3.5175163176329426E-2</v>
      </c>
      <c r="L28" s="10">
        <f t="shared" si="5"/>
        <v>3.5069343208547731E-2</v>
      </c>
      <c r="M28" s="10">
        <v>10.5</v>
      </c>
      <c r="N28" s="10">
        <f t="shared" si="8"/>
        <v>3.3652057426891702E-2</v>
      </c>
      <c r="O28">
        <f t="shared" si="6"/>
        <v>0.69341340896327608</v>
      </c>
      <c r="P28">
        <f>SUM($O$8:O28)</f>
        <v>17.307371579097413</v>
      </c>
      <c r="Q28">
        <f t="shared" si="7"/>
        <v>3.5428440377046844E-2</v>
      </c>
    </row>
    <row r="29" spans="1:17" ht="13.5" thickBot="1" x14ac:dyDescent="0.25">
      <c r="A29" s="16">
        <v>53097</v>
      </c>
      <c r="B29" s="17">
        <v>3</v>
      </c>
      <c r="C29" s="18">
        <v>86.656999999999996</v>
      </c>
      <c r="D29" s="10">
        <f t="shared" si="0"/>
        <v>22.342541436464089</v>
      </c>
      <c r="E29" s="10">
        <f t="shared" si="1"/>
        <v>87.129375690607731</v>
      </c>
      <c r="F29" s="10">
        <f t="shared" si="2"/>
        <v>87.129375203532476</v>
      </c>
      <c r="G29" s="14">
        <f t="shared" si="3"/>
        <v>-4.8707525479585456E-7</v>
      </c>
      <c r="H29" s="15">
        <v>3.9832618665841577E-2</v>
      </c>
      <c r="I29" s="10">
        <v>-4.4835701917056827E-5</v>
      </c>
      <c r="J29" s="10">
        <v>11</v>
      </c>
      <c r="K29" s="10">
        <f t="shared" si="4"/>
        <v>3.5111223838324164E-2</v>
      </c>
      <c r="L29" s="10">
        <f t="shared" si="5"/>
        <v>3.4897420243649682E-2</v>
      </c>
      <c r="M29" s="10">
        <v>11</v>
      </c>
      <c r="N29" s="10">
        <f t="shared" si="8"/>
        <v>3.3832878914781261E-2</v>
      </c>
      <c r="O29">
        <f t="shared" si="6"/>
        <v>0.68189988344862129</v>
      </c>
      <c r="P29">
        <f>SUM($O$8:O29)</f>
        <v>17.989271462546036</v>
      </c>
      <c r="Q29">
        <f t="shared" si="7"/>
        <v>3.5365536310202277E-2</v>
      </c>
    </row>
    <row r="30" spans="1:17" ht="13.5" thickBot="1" x14ac:dyDescent="0.25">
      <c r="A30" s="16">
        <v>53738</v>
      </c>
      <c r="B30" s="17">
        <v>3</v>
      </c>
      <c r="C30" s="18">
        <v>86.516000000000005</v>
      </c>
      <c r="D30" s="10">
        <f t="shared" si="0"/>
        <v>24.095108695652176</v>
      </c>
      <c r="E30" s="10">
        <f t="shared" si="1"/>
        <v>87.730673913043489</v>
      </c>
      <c r="F30" s="10">
        <f t="shared" si="2"/>
        <v>87.730673772383966</v>
      </c>
      <c r="G30" s="14">
        <f t="shared" si="3"/>
        <v>-1.4065952314012975E-7</v>
      </c>
      <c r="H30" s="15">
        <v>3.9264224759599786E-2</v>
      </c>
      <c r="I30" s="10">
        <v>3.8636166225685954E-5</v>
      </c>
      <c r="J30" s="10">
        <v>11.5</v>
      </c>
      <c r="K30" s="10">
        <f t="shared" si="4"/>
        <v>3.5047284500318909E-2</v>
      </c>
      <c r="L30" s="10">
        <f t="shared" si="5"/>
        <v>3.4745065910373955E-2</v>
      </c>
      <c r="M30" s="10">
        <v>11.5</v>
      </c>
      <c r="N30" s="10">
        <f t="shared" si="8"/>
        <v>3.3705043428410519E-2</v>
      </c>
      <c r="O30">
        <f t="shared" si="6"/>
        <v>0.6706196824314794</v>
      </c>
      <c r="P30">
        <f>SUM($O$8:O30)</f>
        <v>18.659891144977514</v>
      </c>
      <c r="Q30">
        <f t="shared" si="7"/>
        <v>3.530356259952528E-2</v>
      </c>
    </row>
    <row r="31" spans="1:17" ht="13.5" thickBot="1" x14ac:dyDescent="0.25">
      <c r="A31" s="16">
        <v>54377</v>
      </c>
      <c r="B31" s="17">
        <v>3.375</v>
      </c>
      <c r="C31" s="18">
        <v>92.977000000000004</v>
      </c>
      <c r="D31" s="10">
        <f t="shared" si="0"/>
        <v>25.842541436464089</v>
      </c>
      <c r="E31" s="10">
        <f t="shared" si="1"/>
        <v>93.508422651933699</v>
      </c>
      <c r="F31" s="10">
        <f t="shared" si="2"/>
        <v>93.508421685665894</v>
      </c>
      <c r="G31" s="14">
        <f t="shared" si="3"/>
        <v>-9.6626780532460543E-7</v>
      </c>
      <c r="H31" s="15">
        <v>3.8332966644543172E-2</v>
      </c>
      <c r="I31" s="10">
        <v>-8.260844307834723E-4</v>
      </c>
      <c r="J31" s="10">
        <v>12</v>
      </c>
      <c r="K31" s="10">
        <f t="shared" si="4"/>
        <v>3.4983345162313655E-2</v>
      </c>
      <c r="L31" s="10">
        <f t="shared" si="5"/>
        <v>3.4651497218844335E-2</v>
      </c>
      <c r="M31" s="10">
        <v>12</v>
      </c>
      <c r="N31" s="10">
        <f t="shared" si="8"/>
        <v>3.3577209952283749E-2</v>
      </c>
      <c r="O31">
        <f t="shared" si="6"/>
        <v>0.659567541724287</v>
      </c>
      <c r="P31">
        <f>SUM($O$8:O31)</f>
        <v>19.3194586867018</v>
      </c>
      <c r="Q31">
        <f t="shared" si="7"/>
        <v>3.5242442740908007E-2</v>
      </c>
    </row>
    <row r="32" spans="1:17" ht="13.5" thickBot="1" x14ac:dyDescent="0.25">
      <c r="A32" s="16">
        <v>54469</v>
      </c>
      <c r="B32" s="17">
        <v>3</v>
      </c>
      <c r="C32" s="18">
        <v>86.992999999999995</v>
      </c>
      <c r="D32" s="10">
        <f t="shared" si="0"/>
        <v>26.095108695652176</v>
      </c>
      <c r="E32" s="10">
        <f t="shared" si="1"/>
        <v>88.207673913043479</v>
      </c>
      <c r="F32" s="10">
        <f t="shared" si="2"/>
        <v>88.207673221000249</v>
      </c>
      <c r="G32" s="14">
        <f t="shared" si="3"/>
        <v>-6.9204322983296152E-7</v>
      </c>
      <c r="H32" s="15">
        <v>3.8065878438902391E-2</v>
      </c>
      <c r="I32" s="10">
        <v>3.5412009932290448E-4</v>
      </c>
      <c r="J32" s="10">
        <v>12.5</v>
      </c>
      <c r="K32" s="10">
        <f t="shared" si="4"/>
        <v>3.49194058243084E-2</v>
      </c>
      <c r="L32" s="10">
        <f t="shared" si="5"/>
        <v>3.4655931179184578E-2</v>
      </c>
      <c r="M32" s="10">
        <v>12.5</v>
      </c>
      <c r="N32" s="10">
        <f t="shared" si="8"/>
        <v>3.3449378486514636E-2</v>
      </c>
      <c r="O32">
        <f t="shared" si="6"/>
        <v>0.64873832661539121</v>
      </c>
      <c r="P32">
        <f>SUM($O$8:O32)</f>
        <v>19.968197013317191</v>
      </c>
      <c r="Q32">
        <f t="shared" si="7"/>
        <v>3.5182112150670922E-2</v>
      </c>
    </row>
    <row r="33" spans="1:17" ht="13.5" thickBot="1" x14ac:dyDescent="0.25">
      <c r="A33" s="16">
        <v>55838</v>
      </c>
      <c r="B33" s="17">
        <v>4</v>
      </c>
      <c r="C33" s="18">
        <v>105.711</v>
      </c>
      <c r="D33" s="10">
        <f t="shared" si="0"/>
        <v>29.842541436464089</v>
      </c>
      <c r="E33" s="10">
        <f t="shared" si="1"/>
        <v>106.34083425414364</v>
      </c>
      <c r="F33" s="10">
        <f t="shared" si="2"/>
        <v>106.34083448316343</v>
      </c>
      <c r="G33" s="14">
        <f t="shared" si="3"/>
        <v>2.2901978979916748E-7</v>
      </c>
      <c r="H33" s="15">
        <v>3.6240394851441635E-2</v>
      </c>
      <c r="I33" s="10">
        <v>2.1291021542330833E-4</v>
      </c>
      <c r="J33" s="10">
        <v>13</v>
      </c>
      <c r="K33" s="10">
        <f t="shared" si="4"/>
        <v>3.4855466486303138E-2</v>
      </c>
      <c r="L33" s="10">
        <f t="shared" si="5"/>
        <v>3.479758480151849E-2</v>
      </c>
      <c r="M33" s="10">
        <v>13</v>
      </c>
      <c r="N33" s="10">
        <f t="shared" si="8"/>
        <v>3.3321549031244402E-2</v>
      </c>
      <c r="O33">
        <f t="shared" si="6"/>
        <v>0.63812702845864178</v>
      </c>
      <c r="P33">
        <f>SUM($O$8:O33)</f>
        <v>20.606324041775832</v>
      </c>
      <c r="Q33">
        <f t="shared" si="7"/>
        <v>3.5122515865296702E-2</v>
      </c>
    </row>
    <row r="34" spans="1:17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>
        <v>13.5</v>
      </c>
      <c r="K34" s="10">
        <f t="shared" si="4"/>
        <v>3.5146745103907764E-2</v>
      </c>
      <c r="L34" s="10">
        <f t="shared" si="5"/>
        <v>3.5103338513491462E-2</v>
      </c>
      <c r="M34" s="10">
        <v>13.5</v>
      </c>
      <c r="N34" s="10">
        <f t="shared" si="8"/>
        <v>3.7990629984144153E-2</v>
      </c>
      <c r="O34">
        <f t="shared" si="6"/>
        <v>0.62477721332306291</v>
      </c>
      <c r="P34">
        <f>SUM($O$8:O34)</f>
        <v>21.231101255098896</v>
      </c>
      <c r="Q34">
        <f t="shared" si="7"/>
        <v>3.5346521329111272E-2</v>
      </c>
    </row>
    <row r="35" spans="1:17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>
        <v>14</v>
      </c>
      <c r="K35" s="10">
        <f t="shared" si="4"/>
        <v>3.5521464180883838E-2</v>
      </c>
      <c r="L35" s="10">
        <f t="shared" si="5"/>
        <v>3.5511708031455445E-2</v>
      </c>
      <c r="M35" s="10">
        <v>14</v>
      </c>
      <c r="N35" s="10">
        <f t="shared" si="8"/>
        <v>4.4199296165067459E-2</v>
      </c>
      <c r="O35">
        <f t="shared" si="6"/>
        <v>0.61083042730767412</v>
      </c>
      <c r="P35">
        <f>SUM($O$8:O35)</f>
        <v>21.841931682406571</v>
      </c>
      <c r="Q35">
        <f t="shared" si="7"/>
        <v>3.5635087441079911E-2</v>
      </c>
    </row>
    <row r="36" spans="1:17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>
        <v>14.5</v>
      </c>
      <c r="K36" s="10">
        <f t="shared" si="4"/>
        <v>3.5917895243041204E-2</v>
      </c>
      <c r="L36" s="10">
        <f t="shared" si="5"/>
        <v>3.5930605744644149E-2</v>
      </c>
      <c r="M36" s="10">
        <v>14.5</v>
      </c>
      <c r="N36" s="10">
        <f t="shared" si="8"/>
        <v>4.6357066526333757E-2</v>
      </c>
      <c r="O36">
        <f t="shared" si="6"/>
        <v>0.59679110565393079</v>
      </c>
      <c r="P36">
        <f>SUM($O$8:O36)</f>
        <v>22.438722788060502</v>
      </c>
      <c r="Q36">
        <f t="shared" si="7"/>
        <v>3.5938667111714041E-2</v>
      </c>
    </row>
    <row r="37" spans="1:17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>
        <v>15</v>
      </c>
      <c r="K37" s="10">
        <f t="shared" si="4"/>
        <v>3.6319426435945858E-2</v>
      </c>
      <c r="L37" s="10">
        <f t="shared" si="5"/>
        <v>3.6324574006966204E-2</v>
      </c>
      <c r="M37" s="10">
        <v>15</v>
      </c>
      <c r="N37" s="10">
        <f t="shared" si="8"/>
        <v>4.7523799553041979E-2</v>
      </c>
      <c r="O37">
        <f t="shared" si="6"/>
        <v>0.58280428570624676</v>
      </c>
      <c r="P37">
        <f>SUM($O$8:O37)</f>
        <v>23.021527073766748</v>
      </c>
      <c r="Q37">
        <f t="shared" si="7"/>
        <v>3.6243965307510097E-2</v>
      </c>
    </row>
    <row r="38" spans="1:17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>
        <v>15.5</v>
      </c>
      <c r="K38" s="10">
        <f t="shared" si="4"/>
        <v>3.6657350885650024E-2</v>
      </c>
      <c r="L38" s="10">
        <f t="shared" si="5"/>
        <v>3.6682484330819304E-2</v>
      </c>
      <c r="M38" s="10">
        <v>15.5</v>
      </c>
      <c r="N38" s="10">
        <f t="shared" si="8"/>
        <v>4.7409688093191349E-2</v>
      </c>
      <c r="O38">
        <f t="shared" si="6"/>
        <v>0.56947258995860173</v>
      </c>
      <c r="P38">
        <f>SUM($O$8:O38)</f>
        <v>23.590999663725349</v>
      </c>
      <c r="Q38">
        <f t="shared" si="7"/>
        <v>3.6499293474485342E-2</v>
      </c>
    </row>
    <row r="39" spans="1:17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>
        <v>16</v>
      </c>
      <c r="K39" s="10">
        <f t="shared" si="4"/>
        <v>3.6980334154065479E-2</v>
      </c>
      <c r="L39" s="10">
        <f t="shared" si="5"/>
        <v>3.6990200429425565E-2</v>
      </c>
      <c r="M39" s="10">
        <v>16</v>
      </c>
      <c r="N39" s="10">
        <f t="shared" si="8"/>
        <v>4.6919729454515835E-2</v>
      </c>
      <c r="O39">
        <f t="shared" si="6"/>
        <v>0.55639229095983977</v>
      </c>
      <c r="P39">
        <f>SUM($O$8:O39)</f>
        <v>24.147391954685187</v>
      </c>
      <c r="Q39">
        <f t="shared" si="7"/>
        <v>3.6741666335861949E-2</v>
      </c>
    </row>
    <row r="40" spans="1:17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>
        <v>16.5</v>
      </c>
      <c r="K40" s="10">
        <f t="shared" si="4"/>
        <v>3.7275640803648542E-2</v>
      </c>
      <c r="L40" s="10">
        <f t="shared" si="5"/>
        <v>3.7241099023923051E-2</v>
      </c>
      <c r="M40" s="10">
        <v>16.5</v>
      </c>
      <c r="N40" s="10">
        <f t="shared" si="8"/>
        <v>4.6883172040308452E-2</v>
      </c>
      <c r="O40">
        <f t="shared" si="6"/>
        <v>0.54368419167623827</v>
      </c>
      <c r="P40">
        <f>SUM($O$8:O40)</f>
        <v>24.691076146361425</v>
      </c>
      <c r="Q40">
        <f t="shared" si="7"/>
        <v>3.6962002435119157E-2</v>
      </c>
    </row>
    <row r="41" spans="1:17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>
        <v>17</v>
      </c>
      <c r="K41" s="10">
        <f t="shared" si="4"/>
        <v>3.756444623404278E-2</v>
      </c>
      <c r="L41" s="10">
        <f t="shared" si="5"/>
        <v>3.749208096796481E-2</v>
      </c>
      <c r="M41" s="10">
        <v>17</v>
      </c>
      <c r="N41" s="10">
        <f t="shared" si="8"/>
        <v>4.6933051720738916E-2</v>
      </c>
      <c r="O41">
        <f t="shared" si="6"/>
        <v>0.5311703420876146</v>
      </c>
      <c r="P41">
        <f>SUM($O$8:O41)</f>
        <v>25.222246488449038</v>
      </c>
      <c r="Q41">
        <f t="shared" si="7"/>
        <v>3.7175884243863373E-2</v>
      </c>
    </row>
    <row r="42" spans="1:17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>
        <v>17.5</v>
      </c>
      <c r="K42" s="10">
        <f t="shared" si="4"/>
        <v>3.7853251664437024E-2</v>
      </c>
      <c r="L42" s="10">
        <f t="shared" si="5"/>
        <v>3.7827749496009248E-2</v>
      </c>
      <c r="M42" s="10">
        <v>17.5</v>
      </c>
      <c r="N42" s="10">
        <f t="shared" si="8"/>
        <v>4.7407509099606226E-2</v>
      </c>
      <c r="O42">
        <f t="shared" si="6"/>
        <v>0.51879778509507335</v>
      </c>
      <c r="P42">
        <f>SUM($O$8:O42)</f>
        <v>25.741044273544112</v>
      </c>
      <c r="Q42">
        <f t="shared" si="7"/>
        <v>3.738793265660105E-2</v>
      </c>
    </row>
    <row r="43" spans="1:17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>
        <v>18</v>
      </c>
      <c r="K43" s="10">
        <f t="shared" si="4"/>
        <v>3.8310938442093483E-2</v>
      </c>
      <c r="L43" s="10">
        <f t="shared" si="5"/>
        <v>3.8308310012784848E-2</v>
      </c>
      <c r="M43" s="10">
        <v>18</v>
      </c>
      <c r="N43" s="10">
        <f t="shared" si="8"/>
        <v>5.1043231605310879E-2</v>
      </c>
      <c r="O43">
        <f t="shared" si="6"/>
        <v>0.50506140273700262</v>
      </c>
      <c r="P43">
        <f>SUM($O$8:O43)</f>
        <v>26.246105676281115</v>
      </c>
      <c r="Q43">
        <f t="shared" si="7"/>
        <v>3.7715202656543344E-2</v>
      </c>
    </row>
    <row r="44" spans="1:17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>
        <v>18.5</v>
      </c>
      <c r="K44" s="10">
        <f t="shared" si="4"/>
        <v>3.8808295334878645E-2</v>
      </c>
      <c r="L44" s="10">
        <f t="shared" si="5"/>
        <v>3.881838725475506E-2</v>
      </c>
      <c r="M44" s="10">
        <v>18.5</v>
      </c>
      <c r="N44" s="10">
        <f t="shared" si="8"/>
        <v>5.5594199153084833E-2</v>
      </c>
      <c r="O44">
        <f t="shared" si="6"/>
        <v>0.4911151570062684</v>
      </c>
      <c r="P44">
        <f>SUM($O$8:O44)</f>
        <v>26.737220833287385</v>
      </c>
      <c r="Q44">
        <f t="shared" si="7"/>
        <v>3.8065649841974497E-2</v>
      </c>
    </row>
    <row r="45" spans="1:17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>
        <v>19</v>
      </c>
      <c r="K45" s="10">
        <f t="shared" si="4"/>
        <v>3.9069631183402717E-2</v>
      </c>
      <c r="L45" s="10">
        <f t="shared" si="5"/>
        <v>3.9189013547308901E-2</v>
      </c>
      <c r="M45" s="10">
        <v>19</v>
      </c>
      <c r="N45" s="10">
        <f t="shared" si="8"/>
        <v>5.2774492569870102E-2</v>
      </c>
      <c r="O45">
        <f t="shared" si="6"/>
        <v>0.47942611474725777</v>
      </c>
      <c r="P45">
        <f>SUM($O$8:O45)</f>
        <v>27.216646948034644</v>
      </c>
      <c r="Q45">
        <f t="shared" si="7"/>
        <v>3.8254079295416923E-2</v>
      </c>
    </row>
    <row r="46" spans="1:17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>
        <v>19.5</v>
      </c>
      <c r="K46" s="10">
        <f t="shared" si="4"/>
        <v>3.9275525847033248E-2</v>
      </c>
      <c r="L46" s="10">
        <f t="shared" si="5"/>
        <v>3.9415434683506799E-2</v>
      </c>
      <c r="M46" s="10">
        <v>19.5</v>
      </c>
      <c r="N46" s="10">
        <f t="shared" si="8"/>
        <v>4.7938629725513771E-2</v>
      </c>
      <c r="O46">
        <f t="shared" si="6"/>
        <v>0.46839198283964489</v>
      </c>
      <c r="P46">
        <f>SUM($O$8:O46)</f>
        <v>27.685038930874288</v>
      </c>
      <c r="Q46">
        <f t="shared" si="7"/>
        <v>3.8403992747686341E-2</v>
      </c>
    </row>
    <row r="47" spans="1:17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>
        <v>20</v>
      </c>
      <c r="K47" s="10">
        <f t="shared" si="4"/>
        <v>3.9481420510663778E-2</v>
      </c>
      <c r="L47" s="10">
        <f t="shared" si="5"/>
        <v>3.9564640870417882E-2</v>
      </c>
      <c r="M47" s="10">
        <v>20</v>
      </c>
      <c r="N47" s="10">
        <f t="shared" si="8"/>
        <v>4.732123742280292E-2</v>
      </c>
      <c r="O47">
        <f t="shared" si="6"/>
        <v>0.45751959072023279</v>
      </c>
      <c r="P47">
        <f>SUM($O$8:O47)</f>
        <v>28.14255852159452</v>
      </c>
      <c r="Q47">
        <f t="shared" si="7"/>
        <v>3.8552316333535057E-2</v>
      </c>
    </row>
    <row r="48" spans="1:17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>
        <v>20.5</v>
      </c>
      <c r="K48" s="10">
        <f t="shared" si="4"/>
        <v>3.9687315174294302E-2</v>
      </c>
      <c r="L48" s="10">
        <f t="shared" si="5"/>
        <v>3.9703920036167892E-2</v>
      </c>
      <c r="M48" s="10">
        <v>20.5</v>
      </c>
      <c r="N48" s="10">
        <f t="shared" si="8"/>
        <v>4.7733847835925935E-2</v>
      </c>
      <c r="O48">
        <f t="shared" si="6"/>
        <v>0.44680952865001472</v>
      </c>
      <c r="P48">
        <f>SUM($O$8:O48)</f>
        <v>28.589368050244534</v>
      </c>
      <c r="Q48">
        <f t="shared" si="7"/>
        <v>3.8699034576614486E-2</v>
      </c>
    </row>
    <row r="49" spans="1:17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>
        <v>21</v>
      </c>
      <c r="K49" s="10">
        <f t="shared" si="4"/>
        <v>3.9893872317188578E-2</v>
      </c>
      <c r="L49" s="10">
        <f t="shared" si="5"/>
        <v>3.9896542286823398E-2</v>
      </c>
      <c r="M49" s="10">
        <v>21</v>
      </c>
      <c r="N49" s="10">
        <f t="shared" si="8"/>
        <v>4.8160447348077895E-2</v>
      </c>
      <c r="O49">
        <f t="shared" si="6"/>
        <v>0.43625632460985497</v>
      </c>
      <c r="P49">
        <f>SUM($O$8:O49)</f>
        <v>29.025624374854388</v>
      </c>
      <c r="Q49">
        <f t="shared" si="7"/>
        <v>3.8844551153120417E-2</v>
      </c>
    </row>
    <row r="50" spans="1:17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>
        <v>21.5</v>
      </c>
      <c r="K50" s="10">
        <f t="shared" si="4"/>
        <v>3.9900713564589727E-2</v>
      </c>
      <c r="L50" s="10">
        <f t="shared" si="5"/>
        <v>4.0000284939572132E-2</v>
      </c>
      <c r="M50" s="10">
        <v>21.5</v>
      </c>
      <c r="N50" s="10">
        <f t="shared" si="8"/>
        <v>4.428030409343009E-2</v>
      </c>
      <c r="O50">
        <f t="shared" si="6"/>
        <v>0.42766285298486301</v>
      </c>
      <c r="P50">
        <f>SUM($O$8:O50)</f>
        <v>29.453287227839251</v>
      </c>
      <c r="Q50">
        <f t="shared" si="7"/>
        <v>3.8864059049691667E-2</v>
      </c>
    </row>
    <row r="51" spans="1:17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>
        <v>22</v>
      </c>
      <c r="K51" s="10">
        <f t="shared" si="4"/>
        <v>3.9860303149267057E-2</v>
      </c>
      <c r="L51" s="10">
        <f t="shared" si="5"/>
        <v>3.9930793271137521E-2</v>
      </c>
      <c r="M51" s="10">
        <v>22</v>
      </c>
      <c r="N51" s="10">
        <f t="shared" si="8"/>
        <v>3.9155478219169204E-2</v>
      </c>
      <c r="O51">
        <f t="shared" si="6"/>
        <v>0.41966335344246636</v>
      </c>
      <c r="P51">
        <f>SUM($O$8:O51)</f>
        <v>29.872950581281717</v>
      </c>
      <c r="Q51">
        <f t="shared" si="7"/>
        <v>3.8853654243392384E-2</v>
      </c>
    </row>
    <row r="52" spans="1:17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>
        <v>22.5</v>
      </c>
      <c r="K52" s="10">
        <f t="shared" si="4"/>
        <v>3.9781551588369837E-2</v>
      </c>
      <c r="L52" s="10">
        <f t="shared" si="5"/>
        <v>3.9783374020338325E-2</v>
      </c>
      <c r="M52" s="10">
        <v>22.5</v>
      </c>
      <c r="N52" s="10">
        <f t="shared" si="8"/>
        <v>3.72212520991968E-2</v>
      </c>
      <c r="O52">
        <f t="shared" si="6"/>
        <v>0.41217830037585174</v>
      </c>
      <c r="P52">
        <f>SUM($O$8:O52)</f>
        <v>30.28512888165757</v>
      </c>
      <c r="Q52">
        <f t="shared" si="7"/>
        <v>3.8819164476474606E-2</v>
      </c>
    </row>
    <row r="53" spans="1:17" x14ac:dyDescent="0.2">
      <c r="A53" s="10"/>
      <c r="B53" s="10"/>
      <c r="C53" s="10"/>
      <c r="D53" s="10"/>
      <c r="E53" s="10"/>
      <c r="F53" s="10"/>
      <c r="G53" s="10"/>
      <c r="H53" s="10"/>
      <c r="I53" s="10"/>
      <c r="J53" s="10">
        <v>23</v>
      </c>
      <c r="K53" s="10">
        <f t="shared" si="4"/>
        <v>3.9619391219556051E-2</v>
      </c>
      <c r="L53" s="10">
        <f t="shared" si="5"/>
        <v>3.9621757771416861E-2</v>
      </c>
      <c r="M53" s="10">
        <v>23</v>
      </c>
      <c r="N53" s="10">
        <f t="shared" si="8"/>
        <v>3.4326521230515272E-2</v>
      </c>
      <c r="O53">
        <f t="shared" si="6"/>
        <v>0.4056203318793058</v>
      </c>
      <c r="P53">
        <f>SUM($O$8:O53)</f>
        <v>30.690749213536876</v>
      </c>
      <c r="Q53">
        <f t="shared" si="7"/>
        <v>3.8733473984957599E-2</v>
      </c>
    </row>
    <row r="54" spans="1:17" x14ac:dyDescent="0.2">
      <c r="A54" s="10"/>
      <c r="B54" s="10"/>
      <c r="C54" s="10"/>
      <c r="D54" s="10"/>
      <c r="E54" s="10"/>
      <c r="F54" s="10"/>
      <c r="G54" s="10"/>
      <c r="H54" s="10"/>
      <c r="I54" s="10"/>
      <c r="J54" s="10">
        <v>23.5</v>
      </c>
      <c r="K54" s="10">
        <f t="shared" si="4"/>
        <v>3.9457230850742271E-2</v>
      </c>
      <c r="L54" s="10">
        <f t="shared" si="5"/>
        <v>3.9456761011908217E-2</v>
      </c>
      <c r="M54" s="10">
        <v>23.5</v>
      </c>
      <c r="N54" s="10">
        <f t="shared" si="8"/>
        <v>3.2173631566901228E-2</v>
      </c>
      <c r="O54">
        <f t="shared" si="6"/>
        <v>0.39923029682671346</v>
      </c>
      <c r="P54">
        <f>SUM($O$8:O54)</f>
        <v>31.089979510363587</v>
      </c>
      <c r="Q54">
        <f t="shared" si="7"/>
        <v>3.8647159800991503E-2</v>
      </c>
    </row>
    <row r="55" spans="1:17" x14ac:dyDescent="0.2">
      <c r="A55" s="10"/>
      <c r="B55" s="10"/>
      <c r="C55" s="10"/>
      <c r="D55" s="10"/>
      <c r="E55" s="10"/>
      <c r="F55" s="10"/>
      <c r="G55" s="10"/>
      <c r="H55" s="10"/>
      <c r="I55" s="10"/>
      <c r="J55" s="10">
        <v>24</v>
      </c>
      <c r="K55" s="10">
        <f t="shared" si="4"/>
        <v>3.9295070481928492E-2</v>
      </c>
      <c r="L55" s="10">
        <f t="shared" si="5"/>
        <v>3.9294337284230312E-2</v>
      </c>
      <c r="M55" s="10">
        <v>24</v>
      </c>
      <c r="N55" s="10">
        <f t="shared" si="8"/>
        <v>3.1849910357121036E-2</v>
      </c>
      <c r="O55">
        <f t="shared" si="6"/>
        <v>0.39300353710583497</v>
      </c>
      <c r="P55">
        <f>SUM($O$8:O55)</f>
        <v>31.482983047469421</v>
      </c>
      <c r="Q55">
        <f t="shared" si="7"/>
        <v>3.8560289028453737E-2</v>
      </c>
    </row>
    <row r="56" spans="1:17" x14ac:dyDescent="0.2">
      <c r="A56" s="10"/>
      <c r="B56" s="10"/>
      <c r="C56" s="10"/>
      <c r="D56" s="10"/>
      <c r="E56" s="10"/>
      <c r="F56" s="10"/>
      <c r="G56" s="10"/>
      <c r="H56" s="10"/>
      <c r="I56" s="10"/>
      <c r="J56" s="10">
        <v>24.5</v>
      </c>
      <c r="K56" s="10">
        <f t="shared" si="4"/>
        <v>3.9048446318413789E-2</v>
      </c>
      <c r="L56" s="10">
        <f t="shared" si="5"/>
        <v>3.9134438792533574E-2</v>
      </c>
      <c r="M56" s="10">
        <v>24.5</v>
      </c>
      <c r="N56" s="10">
        <f t="shared" si="8"/>
        <v>2.9465561689920872E-2</v>
      </c>
      <c r="O56">
        <f t="shared" si="6"/>
        <v>0.38772170222263463</v>
      </c>
      <c r="P56">
        <f>SUM($O$8:O56)</f>
        <v>31.870704749692056</v>
      </c>
      <c r="Q56">
        <f t="shared" si="7"/>
        <v>3.8422639385361022E-2</v>
      </c>
    </row>
    <row r="57" spans="1:17" x14ac:dyDescent="0.2">
      <c r="A57" s="10"/>
      <c r="B57" s="10"/>
      <c r="C57" s="10"/>
      <c r="D57" s="10"/>
      <c r="E57" s="10"/>
      <c r="F57" s="10"/>
      <c r="G57" s="10"/>
      <c r="H57" s="10"/>
      <c r="I57" s="10"/>
      <c r="J57" s="10">
        <v>25</v>
      </c>
      <c r="K57" s="10">
        <f t="shared" si="4"/>
        <v>3.8781981666210948E-2</v>
      </c>
      <c r="L57" s="10">
        <f t="shared" si="5"/>
        <v>3.8934031239292489E-2</v>
      </c>
      <c r="M57" s="10">
        <v>25</v>
      </c>
      <c r="N57" s="10">
        <f t="shared" si="8"/>
        <v>2.6506503596063435E-2</v>
      </c>
      <c r="O57">
        <f t="shared" si="6"/>
        <v>0.38278987925654245</v>
      </c>
      <c r="P57">
        <f>SUM($O$8:O57)</f>
        <v>32.253494628948602</v>
      </c>
      <c r="Q57">
        <f t="shared" si="7"/>
        <v>3.8272449410147978E-2</v>
      </c>
    </row>
    <row r="58" spans="1:17" x14ac:dyDescent="0.2">
      <c r="A58" s="10"/>
      <c r="B58" s="10"/>
      <c r="C58" s="10"/>
      <c r="D58" s="10"/>
      <c r="E58" s="10"/>
      <c r="F58" s="10"/>
      <c r="G58" s="10"/>
      <c r="H58" s="10"/>
      <c r="I58" s="10"/>
      <c r="J58" s="10">
        <v>25.5</v>
      </c>
      <c r="K58" s="10">
        <f t="shared" si="4"/>
        <v>3.8515517014008106E-2</v>
      </c>
      <c r="L58" s="10">
        <f t="shared" si="5"/>
        <v>3.8631335908332766E-2</v>
      </c>
      <c r="M58" s="10">
        <v>25.5</v>
      </c>
      <c r="N58" s="10">
        <f t="shared" si="8"/>
        <v>2.5502169991867607E-2</v>
      </c>
      <c r="O58">
        <f t="shared" si="6"/>
        <v>0.37801991184915634</v>
      </c>
      <c r="P58">
        <f>SUM($O$8:O58)</f>
        <v>32.63151454079776</v>
      </c>
      <c r="Q58">
        <f t="shared" si="7"/>
        <v>3.8121435483676927E-2</v>
      </c>
    </row>
    <row r="59" spans="1:17" x14ac:dyDescent="0.2">
      <c r="A59" s="10"/>
      <c r="B59" s="10"/>
      <c r="C59" s="10"/>
      <c r="D59" s="10"/>
      <c r="E59" s="10"/>
      <c r="F59" s="10"/>
      <c r="G59" s="10"/>
      <c r="H59" s="10"/>
      <c r="I59" s="10"/>
      <c r="J59" s="10">
        <v>26</v>
      </c>
      <c r="K59" s="10">
        <f t="shared" si="4"/>
        <v>3.8166455255328378E-2</v>
      </c>
      <c r="L59" s="10">
        <f t="shared" si="5"/>
        <v>3.8167858654245664E-2</v>
      </c>
      <c r="M59" s="10">
        <v>26</v>
      </c>
      <c r="N59" s="10">
        <f t="shared" si="8"/>
        <v>2.2838545055785975E-2</v>
      </c>
      <c r="O59">
        <f t="shared" si="6"/>
        <v>0.37419501460632792</v>
      </c>
      <c r="P59">
        <f>SUM($O$8:O59)</f>
        <v>33.005709555404088</v>
      </c>
      <c r="Q59">
        <f t="shared" si="7"/>
        <v>3.7921013898712427E-2</v>
      </c>
    </row>
    <row r="60" spans="1:17" x14ac:dyDescent="0.2">
      <c r="A60" s="10"/>
      <c r="B60" s="10"/>
      <c r="C60" s="10"/>
      <c r="D60" s="10"/>
      <c r="E60" s="10"/>
      <c r="F60" s="10"/>
      <c r="G60" s="10"/>
      <c r="H60" s="10"/>
      <c r="I60" s="10"/>
      <c r="J60" s="10">
        <v>26.5</v>
      </c>
      <c r="K60" s="10">
        <f t="shared" si="4"/>
        <v>3.7868644096910598E-2</v>
      </c>
      <c r="L60" s="10">
        <f t="shared" si="5"/>
        <v>3.7664309882649065E-2</v>
      </c>
      <c r="M60" s="10">
        <v>26.5</v>
      </c>
      <c r="N60" s="10">
        <f t="shared" si="8"/>
        <v>2.1442560662815247E-2</v>
      </c>
      <c r="O60">
        <f t="shared" si="6"/>
        <v>0.3700427136391401</v>
      </c>
      <c r="P60">
        <f>SUM($O$8:O60)</f>
        <v>33.375752269043225</v>
      </c>
      <c r="Q60">
        <f t="shared" si="7"/>
        <v>3.7749398502406772E-2</v>
      </c>
    </row>
    <row r="61" spans="1:17" x14ac:dyDescent="0.2">
      <c r="A61" s="10"/>
      <c r="B61" s="10"/>
      <c r="C61" s="10"/>
      <c r="D61" s="10"/>
      <c r="E61" s="10"/>
      <c r="F61" s="10"/>
      <c r="G61" s="10"/>
      <c r="H61" s="10"/>
      <c r="I61" s="10"/>
      <c r="J61" s="10">
        <v>27</v>
      </c>
      <c r="K61" s="10">
        <f t="shared" si="4"/>
        <v>3.762507954035698E-2</v>
      </c>
      <c r="L61" s="10">
        <f t="shared" si="5"/>
        <v>3.7244801455048944E-2</v>
      </c>
      <c r="M61" s="10">
        <v>27</v>
      </c>
      <c r="N61" s="10">
        <f t="shared" si="8"/>
        <v>2.3599673090216378E-2</v>
      </c>
      <c r="O61">
        <f t="shared" si="6"/>
        <v>0.36551801561082298</v>
      </c>
      <c r="P61">
        <f>SUM($O$8:O61)</f>
        <v>33.74127028465405</v>
      </c>
      <c r="Q61">
        <f t="shared" si="7"/>
        <v>3.7608660197819957E-2</v>
      </c>
    </row>
    <row r="62" spans="1:17" x14ac:dyDescent="0.2">
      <c r="A62" s="10"/>
      <c r="B62" s="10"/>
      <c r="C62" s="10"/>
      <c r="D62" s="10"/>
      <c r="E62" s="10"/>
      <c r="F62" s="10"/>
      <c r="G62" s="10"/>
      <c r="H62" s="10"/>
      <c r="I62" s="10"/>
      <c r="J62" s="10">
        <v>27.5</v>
      </c>
      <c r="K62" s="10">
        <f t="shared" si="4"/>
        <v>3.7381514983803356E-2</v>
      </c>
      <c r="L62" s="10">
        <f t="shared" si="5"/>
        <v>3.6905298576667404E-2</v>
      </c>
      <c r="M62" s="10">
        <v>27.5</v>
      </c>
      <c r="N62" s="10">
        <f t="shared" si="8"/>
        <v>2.4514936185800362E-2</v>
      </c>
      <c r="O62">
        <f t="shared" si="6"/>
        <v>0.36113524714644196</v>
      </c>
      <c r="P62">
        <f>SUM($O$8:O62)</f>
        <v>34.102405531800493</v>
      </c>
      <c r="Q62">
        <f t="shared" si="7"/>
        <v>3.746743039917326E-2</v>
      </c>
    </row>
    <row r="63" spans="1:17" x14ac:dyDescent="0.2">
      <c r="A63" s="10"/>
      <c r="B63" s="10"/>
      <c r="C63" s="10"/>
      <c r="D63" s="10"/>
      <c r="E63" s="10"/>
      <c r="F63" s="10"/>
      <c r="G63" s="10"/>
      <c r="H63" s="10"/>
      <c r="I63" s="10"/>
      <c r="J63" s="10">
        <v>28</v>
      </c>
      <c r="K63" s="10">
        <f t="shared" si="4"/>
        <v>3.7137950427249732E-2</v>
      </c>
      <c r="L63" s="10">
        <f t="shared" si="5"/>
        <v>3.6641091026745808E-2</v>
      </c>
      <c r="M63" s="10">
        <v>28</v>
      </c>
      <c r="N63" s="10">
        <f t="shared" si="8"/>
        <v>2.4029393875887095E-2</v>
      </c>
      <c r="O63">
        <f t="shared" si="6"/>
        <v>0.35689063183498626</v>
      </c>
      <c r="P63">
        <f>SUM($O$8:O63)</f>
        <v>34.459296163635479</v>
      </c>
      <c r="Q63">
        <f t="shared" si="7"/>
        <v>3.732574020729304E-2</v>
      </c>
    </row>
    <row r="64" spans="1:17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>
        <v>28.5</v>
      </c>
      <c r="K64" s="10">
        <f t="shared" si="4"/>
        <v>3.6894385870696114E-2</v>
      </c>
      <c r="L64" s="10">
        <f t="shared" si="5"/>
        <v>3.644746858452548E-2</v>
      </c>
      <c r="M64" s="10">
        <v>28.5</v>
      </c>
      <c r="N64" s="10">
        <f t="shared" si="8"/>
        <v>2.3543880874394407E-2</v>
      </c>
      <c r="O64">
        <f t="shared" si="6"/>
        <v>0.35278053639635137</v>
      </c>
      <c r="P64">
        <f>SUM($O$8:O64)</f>
        <v>34.812076700031831</v>
      </c>
      <c r="Q64">
        <f t="shared" si="7"/>
        <v>3.7183617006282005E-2</v>
      </c>
    </row>
    <row r="65" spans="1:17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>
        <v>29</v>
      </c>
      <c r="K65" s="10">
        <f t="shared" si="4"/>
        <v>3.665082131414249E-2</v>
      </c>
      <c r="L65" s="10">
        <f t="shared" si="5"/>
        <v>3.6319721029247763E-2</v>
      </c>
      <c r="M65" s="10">
        <v>29</v>
      </c>
      <c r="N65" s="10">
        <f t="shared" si="8"/>
        <v>2.3058397188333579E-2</v>
      </c>
      <c r="O65">
        <f t="shared" si="6"/>
        <v>0.34880146556708669</v>
      </c>
      <c r="P65">
        <f>SUM($O$8:O65)</f>
        <v>35.160878165598916</v>
      </c>
      <c r="Q65">
        <f t="shared" si="7"/>
        <v>3.704108477415903E-2</v>
      </c>
    </row>
    <row r="66" spans="1:17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>
        <v>29.5</v>
      </c>
      <c r="K66" s="10">
        <f t="shared" si="4"/>
        <v>3.6407256757588866E-2</v>
      </c>
      <c r="L66" s="10">
        <f t="shared" si="5"/>
        <v>3.625313814015399E-2</v>
      </c>
      <c r="M66" s="10">
        <v>29.5</v>
      </c>
      <c r="N66" s="10">
        <f t="shared" si="8"/>
        <v>2.2572942824708342E-2</v>
      </c>
      <c r="O66">
        <f t="shared" si="6"/>
        <v>0.34495005720878619</v>
      </c>
      <c r="P66">
        <f>SUM($O$8:O66)</f>
        <v>35.5058282228077</v>
      </c>
      <c r="Q66">
        <f t="shared" si="7"/>
        <v>3.6898164362234628E-2</v>
      </c>
    </row>
    <row r="67" spans="1:17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>
        <v>30</v>
      </c>
      <c r="K67" s="10">
        <f t="shared" si="4"/>
        <v>3.6240394851441635E-2</v>
      </c>
      <c r="L67" s="10">
        <f t="shared" si="5"/>
        <v>3.6243009696485522E-2</v>
      </c>
      <c r="M67" s="10">
        <v>30</v>
      </c>
      <c r="N67" s="10">
        <f t="shared" si="8"/>
        <v>2.4373938382522553E-2</v>
      </c>
      <c r="O67">
        <f t="shared" si="6"/>
        <v>0.34045272698327539</v>
      </c>
      <c r="P67">
        <f>SUM($O$8:O67)</f>
        <v>35.846280949790973</v>
      </c>
      <c r="Q67">
        <f t="shared" si="7"/>
        <v>3.6798644408357825E-2</v>
      </c>
    </row>
  </sheetData>
  <mergeCells count="2">
    <mergeCell ref="K6:L6"/>
    <mergeCell ref="M6:N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bootstrapping 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johan</cp:lastModifiedBy>
  <dcterms:created xsi:type="dcterms:W3CDTF">2002-08-14T18:48:00Z</dcterms:created>
  <dcterms:modified xsi:type="dcterms:W3CDTF">2023-06-15T00:21:09Z</dcterms:modified>
</cp:coreProperties>
</file>