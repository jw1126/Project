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han\Desktop\"/>
    </mc:Choice>
  </mc:AlternateContent>
  <xr:revisionPtr revIDLastSave="0" documentId="13_ncr:1_{BB551F12-B232-4664-A190-17E0E040E00F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duration convxity of bond" sheetId="26" r:id="rId1"/>
  </sheets>
  <functionGroups builtInGroupCount="19"/>
  <definedNames>
    <definedName name="AnnualCoupon">#REF!</definedName>
    <definedName name="AnnualCoupon1">#REF!</definedName>
    <definedName name="AnnualCoupon2">#REF!</definedName>
    <definedName name="BondPrice">#REF!</definedName>
    <definedName name="BondPrice2">#REF!</definedName>
    <definedName name="FaceValue">#REF!</definedName>
    <definedName name="Maturity">#REF!</definedName>
    <definedName name="Maturity2">#REF!</definedName>
    <definedName name="PeriodCoupon">#REF!</definedName>
    <definedName name="PeriodCoupon2">#REF!</definedName>
    <definedName name="SemiAnnualPeriod">#REF!</definedName>
    <definedName name="SemiAnnualPeriod2">#REF!</definedName>
    <definedName name="X">#REF!</definedName>
    <definedName name="Xa">#REF!</definedName>
    <definedName name="Xb">#REF!</definedName>
    <definedName name="Xc">#REF!</definedName>
    <definedName name="XX">#REF!</definedName>
    <definedName name="Y">#REF!</definedName>
    <definedName name="Ya">#REF!</definedName>
    <definedName name="Yb">#REF!</definedName>
    <definedName name="Yc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8" i="26" l="1"/>
  <c r="C15" i="26"/>
  <c r="C16" i="26"/>
  <c r="C17" i="26"/>
  <c r="C18" i="26"/>
  <c r="C21" i="26"/>
  <c r="C78" i="26"/>
  <c r="C26" i="26"/>
  <c r="C79" i="26"/>
  <c r="C80" i="26"/>
  <c r="C81" i="26"/>
  <c r="C82" i="26"/>
  <c r="C83" i="26"/>
  <c r="C100" i="26"/>
  <c r="C20" i="26"/>
  <c r="C97" i="26"/>
  <c r="C101" i="26"/>
  <c r="D68" i="26"/>
  <c r="D15" i="26"/>
  <c r="D16" i="26"/>
  <c r="D17" i="26"/>
  <c r="D18" i="26"/>
  <c r="D21" i="26"/>
  <c r="D78" i="26"/>
  <c r="D26" i="26"/>
  <c r="D79" i="26"/>
  <c r="D80" i="26"/>
  <c r="D81" i="26"/>
  <c r="D82" i="26"/>
  <c r="D83" i="26"/>
  <c r="D100" i="26"/>
  <c r="D20" i="26"/>
  <c r="D97" i="26"/>
  <c r="D101" i="26"/>
  <c r="E68" i="26"/>
  <c r="E15" i="26"/>
  <c r="E16" i="26"/>
  <c r="E17" i="26"/>
  <c r="E18" i="26"/>
  <c r="E21" i="26"/>
  <c r="E78" i="26"/>
  <c r="E26" i="26"/>
  <c r="E79" i="26"/>
  <c r="E80" i="26"/>
  <c r="E81" i="26"/>
  <c r="E82" i="26"/>
  <c r="E83" i="26"/>
  <c r="E100" i="26"/>
  <c r="E20" i="26"/>
  <c r="E97" i="26"/>
  <c r="E101" i="26"/>
  <c r="B105" i="26"/>
  <c r="E99" i="26"/>
  <c r="D99" i="26"/>
  <c r="C99" i="26"/>
  <c r="E98" i="26"/>
  <c r="D98" i="26"/>
  <c r="C98" i="26"/>
  <c r="E96" i="26"/>
  <c r="D96" i="26"/>
  <c r="C96" i="26"/>
  <c r="E27" i="26"/>
  <c r="E29" i="26"/>
  <c r="E28" i="26"/>
  <c r="E30" i="26"/>
  <c r="E31" i="26"/>
  <c r="E32" i="26"/>
  <c r="E42" i="26"/>
  <c r="E43" i="26"/>
  <c r="E44" i="26"/>
  <c r="E45" i="26"/>
  <c r="E46" i="26"/>
  <c r="E47" i="26"/>
  <c r="E50" i="26"/>
  <c r="E51" i="26"/>
  <c r="E52" i="26"/>
  <c r="E53" i="26"/>
  <c r="E54" i="26"/>
  <c r="E55" i="26"/>
  <c r="E56" i="26"/>
  <c r="E77" i="26"/>
  <c r="D27" i="26"/>
  <c r="D29" i="26"/>
  <c r="D28" i="26"/>
  <c r="D30" i="26"/>
  <c r="D31" i="26"/>
  <c r="D32" i="26"/>
  <c r="D42" i="26"/>
  <c r="D43" i="26"/>
  <c r="D44" i="26"/>
  <c r="D45" i="26"/>
  <c r="D46" i="26"/>
  <c r="D47" i="26"/>
  <c r="D50" i="26"/>
  <c r="D51" i="26"/>
  <c r="D52" i="26"/>
  <c r="D53" i="26"/>
  <c r="D54" i="26"/>
  <c r="D55" i="26"/>
  <c r="D56" i="26"/>
  <c r="D77" i="26"/>
  <c r="C27" i="26"/>
  <c r="C29" i="26"/>
  <c r="C28" i="26"/>
  <c r="C30" i="26"/>
  <c r="C31" i="26"/>
  <c r="C32" i="26"/>
  <c r="C42" i="26"/>
  <c r="C43" i="26"/>
  <c r="C44" i="26"/>
  <c r="C45" i="26"/>
  <c r="C46" i="26"/>
  <c r="C47" i="26"/>
  <c r="C50" i="26"/>
  <c r="C51" i="26"/>
  <c r="C52" i="26"/>
  <c r="C53" i="26"/>
  <c r="C54" i="26"/>
  <c r="C55" i="26"/>
  <c r="C56" i="26"/>
  <c r="C77" i="26"/>
  <c r="C69" i="26"/>
  <c r="C70" i="26"/>
  <c r="D69" i="26"/>
  <c r="D70" i="26"/>
  <c r="E69" i="26"/>
  <c r="E70" i="26"/>
  <c r="F70" i="26"/>
  <c r="F68" i="26"/>
  <c r="L66" i="26"/>
  <c r="K66" i="26"/>
  <c r="J66" i="26"/>
  <c r="F65" i="26"/>
  <c r="E65" i="26"/>
  <c r="D65" i="26"/>
  <c r="C65" i="26"/>
  <c r="A65" i="26"/>
  <c r="F64" i="26"/>
  <c r="E64" i="26"/>
  <c r="D64" i="26"/>
  <c r="C64" i="26"/>
  <c r="A64" i="26"/>
  <c r="F17" i="26"/>
  <c r="F28" i="26"/>
  <c r="F15" i="26"/>
  <c r="F16" i="26"/>
  <c r="F18" i="26"/>
  <c r="F21" i="26"/>
  <c r="F27" i="26"/>
  <c r="F42" i="26"/>
  <c r="F29" i="26"/>
  <c r="F43" i="26"/>
  <c r="F44" i="26"/>
  <c r="F45" i="26"/>
  <c r="F46" i="26"/>
  <c r="F47" i="26"/>
  <c r="F50" i="26"/>
  <c r="F51" i="26"/>
  <c r="F52" i="26"/>
  <c r="F53" i="26"/>
  <c r="F54" i="26"/>
  <c r="F26" i="26"/>
  <c r="F30" i="26"/>
  <c r="F55" i="26"/>
  <c r="F56" i="26"/>
  <c r="B17" i="26"/>
  <c r="B28" i="26"/>
  <c r="B15" i="26"/>
  <c r="B16" i="26"/>
  <c r="B18" i="26"/>
  <c r="B21" i="26"/>
  <c r="B27" i="26"/>
  <c r="B42" i="26"/>
  <c r="B29" i="26"/>
  <c r="B43" i="26"/>
  <c r="B44" i="26"/>
  <c r="B45" i="26"/>
  <c r="B46" i="26"/>
  <c r="B47" i="26"/>
  <c r="B50" i="26"/>
  <c r="B51" i="26"/>
  <c r="B52" i="26"/>
  <c r="B53" i="26"/>
  <c r="B54" i="26"/>
  <c r="B26" i="26"/>
  <c r="B30" i="26"/>
  <c r="B55" i="26"/>
  <c r="B56" i="26"/>
  <c r="F31" i="26"/>
  <c r="F32" i="26"/>
  <c r="B31" i="26"/>
  <c r="B32" i="26"/>
  <c r="F20" i="26"/>
  <c r="B20" i="26"/>
  <c r="F19" i="26"/>
  <c r="E19" i="26"/>
  <c r="D19" i="26"/>
  <c r="C19" i="26"/>
  <c r="B19" i="26"/>
  <c r="A16" i="26"/>
  <c r="A50" i="26"/>
  <c r="A45" i="26"/>
  <c r="A46" i="26"/>
  <c r="A52" i="26"/>
  <c r="A51" i="26"/>
  <c r="A43" i="26"/>
  <c r="A42" i="26"/>
  <c r="A44" i="26"/>
</calcChain>
</file>

<file path=xl/sharedStrings.xml><?xml version="1.0" encoding="utf-8"?>
<sst xmlns="http://schemas.openxmlformats.org/spreadsheetml/2006/main" count="100" uniqueCount="60">
  <si>
    <t>Full price</t>
  </si>
  <si>
    <t>Bond 1</t>
  </si>
  <si>
    <t>Bond 2</t>
  </si>
  <si>
    <t>Par</t>
  </si>
  <si>
    <t>a)</t>
  </si>
  <si>
    <t>new yield</t>
  </si>
  <si>
    <t>Maturity</t>
  </si>
  <si>
    <t>Bond ID</t>
  </si>
  <si>
    <t>Coupon(%)</t>
  </si>
  <si>
    <t>Price</t>
  </si>
  <si>
    <t>coupn /yr</t>
  </si>
  <si>
    <t xml:space="preserve">quoted on </t>
  </si>
  <si>
    <t>Bond 3</t>
  </si>
  <si>
    <t>Bond 4</t>
  </si>
  <si>
    <t>Bond 5</t>
  </si>
  <si>
    <t>current date</t>
  </si>
  <si>
    <t>coupon rate</t>
  </si>
  <si>
    <t xml:space="preserve">Quoted price </t>
  </si>
  <si>
    <t>Accrued intrest</t>
  </si>
  <si>
    <t xml:space="preserve">Full price </t>
  </si>
  <si>
    <t xml:space="preserve">Yield </t>
  </si>
  <si>
    <t xml:space="preserve">b) last year answer </t>
  </si>
  <si>
    <t>a(fraction)</t>
  </si>
  <si>
    <t>r/2</t>
  </si>
  <si>
    <t>c/2</t>
  </si>
  <si>
    <t>N</t>
  </si>
  <si>
    <t>MacDur0</t>
  </si>
  <si>
    <t>MacDur</t>
  </si>
  <si>
    <t>ModDur</t>
  </si>
  <si>
    <t>r</t>
  </si>
  <si>
    <t>c</t>
  </si>
  <si>
    <t xml:space="preserve">top </t>
  </si>
  <si>
    <t>B)</t>
  </si>
  <si>
    <t>bottom</t>
  </si>
  <si>
    <t>Conv0</t>
  </si>
  <si>
    <t>Conv</t>
  </si>
  <si>
    <t>annualized Conv</t>
  </si>
  <si>
    <t>c)</t>
  </si>
  <si>
    <t xml:space="preserve">invest </t>
  </si>
  <si>
    <t>w2</t>
  </si>
  <si>
    <t>w3</t>
  </si>
  <si>
    <t>w4</t>
  </si>
  <si>
    <t>weight solved</t>
  </si>
  <si>
    <t xml:space="preserve"># of bond </t>
  </si>
  <si>
    <t>weight</t>
  </si>
  <si>
    <t>Face value of bond</t>
  </si>
  <si>
    <t>d)</t>
  </si>
  <si>
    <t>basis point</t>
  </si>
  <si>
    <t>impact</t>
  </si>
  <si>
    <t xml:space="preserve">new full price </t>
  </si>
  <si>
    <t>%change</t>
  </si>
  <si>
    <t>pmt</t>
  </si>
  <si>
    <t>Accurate portfolio change</t>
  </si>
  <si>
    <t>pvifa</t>
  </si>
  <si>
    <t>pvify</t>
  </si>
  <si>
    <t>Bond</t>
  </si>
  <si>
    <t>mat.Date</t>
  </si>
  <si>
    <t>yield</t>
  </si>
  <si>
    <t>new full price</t>
  </si>
  <si>
    <t>estimated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</si>
</sst>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$&quot;* #,##0.00_-;\-&quot;$&quot;* #,##0.00_-;_-&quot;$&quot;* &quot;-&quot;??_-;_-@_-"/>
    <numFmt numFmtId="167" formatCode="0.000%"/>
    <numFmt numFmtId="168" formatCode="[$-1009]mmmm\ d\,\ yyyy;@"/>
    <numFmt numFmtId="169" formatCode="_-&quot;$&quot;* #,##0.0000_-;\-&quot;$&quot;* #,##0.0000_-;_-&quot;$&quot;* &quot;-&quot;??_-;_-@_-"/>
    <numFmt numFmtId="170" formatCode="0.00000000"/>
    <numFmt numFmtId="171" formatCode="0.000"/>
  </numFmts>
  <fonts count="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3" fillId="0" borderId="0"/>
    <xf numFmtId="0" fontId="5" fillId="0" borderId="0"/>
    <xf numFmtId="0" fontId="5" fillId="0" borderId="0"/>
    <xf numFmtId="0" fontId="2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3">
    <xf numFmtId="0" fontId="0" fillId="0" borderId="0" xfId="0"/>
    <xf numFmtId="0" fontId="1" fillId="0" borderId="0" xfId="5"/>
    <xf numFmtId="167" fontId="7" fillId="0" borderId="0" xfId="7" applyNumberFormat="1" applyFont="1"/>
    <xf numFmtId="44" fontId="7" fillId="0" borderId="0" xfId="5" applyNumberFormat="1" applyFont="1"/>
    <xf numFmtId="0" fontId="1" fillId="0" borderId="2" xfId="5" applyBorder="1"/>
    <xf numFmtId="0" fontId="1" fillId="0" borderId="1" xfId="5" applyBorder="1"/>
    <xf numFmtId="0" fontId="1" fillId="2" borderId="0" xfId="5" applyFill="1"/>
    <xf numFmtId="0" fontId="7" fillId="0" borderId="0" xfId="5" applyFont="1"/>
    <xf numFmtId="0" fontId="6" fillId="0" borderId="0" xfId="5" applyFont="1"/>
    <xf numFmtId="0" fontId="1" fillId="0" borderId="4" xfId="5" applyBorder="1"/>
    <xf numFmtId="0" fontId="1" fillId="0" borderId="5" xfId="5" applyBorder="1"/>
    <xf numFmtId="0" fontId="1" fillId="0" borderId="6" xfId="5" applyBorder="1"/>
    <xf numFmtId="0" fontId="1" fillId="0" borderId="3" xfId="5" applyBorder="1"/>
    <xf numFmtId="0" fontId="6" fillId="0" borderId="2" xfId="5" applyFont="1" applyBorder="1"/>
    <xf numFmtId="0" fontId="6" fillId="0" borderId="8" xfId="5" applyFont="1" applyBorder="1"/>
    <xf numFmtId="44" fontId="6" fillId="0" borderId="9" xfId="5" applyNumberFormat="1" applyFont="1" applyBorder="1"/>
    <xf numFmtId="168" fontId="1" fillId="2" borderId="0" xfId="5" applyNumberFormat="1" applyFill="1"/>
    <xf numFmtId="14" fontId="1" fillId="2" borderId="0" xfId="5" applyNumberFormat="1" applyFill="1"/>
    <xf numFmtId="14" fontId="1" fillId="0" borderId="0" xfId="5" applyNumberFormat="1"/>
    <xf numFmtId="14" fontId="1" fillId="0" borderId="1" xfId="5" applyNumberFormat="1" applyBorder="1"/>
    <xf numFmtId="14" fontId="1" fillId="0" borderId="3" xfId="5" applyNumberFormat="1" applyBorder="1"/>
    <xf numFmtId="10" fontId="0" fillId="0" borderId="0" xfId="7" applyNumberFormat="1" applyFont="1" applyBorder="1"/>
    <xf numFmtId="169" fontId="6" fillId="0" borderId="0" xfId="6" applyNumberFormat="1" applyFont="1" applyBorder="1"/>
    <xf numFmtId="0" fontId="6" fillId="0" borderId="1" xfId="5" applyFont="1" applyBorder="1"/>
    <xf numFmtId="0" fontId="6" fillId="0" borderId="3" xfId="5" applyFont="1" applyBorder="1"/>
    <xf numFmtId="0" fontId="6" fillId="0" borderId="7" xfId="5" applyFont="1" applyBorder="1"/>
    <xf numFmtId="0" fontId="6" fillId="0" borderId="9" xfId="5" applyFont="1" applyBorder="1"/>
    <xf numFmtId="0" fontId="4" fillId="0" borderId="0" xfId="5" applyFont="1"/>
    <xf numFmtId="170" fontId="7" fillId="0" borderId="0" xfId="5" applyNumberFormat="1" applyFont="1"/>
    <xf numFmtId="44" fontId="0" fillId="3" borderId="0" xfId="6" applyFont="1" applyFill="1"/>
    <xf numFmtId="0" fontId="1" fillId="3" borderId="0" xfId="5" applyFill="1"/>
    <xf numFmtId="44" fontId="6" fillId="0" borderId="8" xfId="5" applyNumberFormat="1" applyFont="1" applyBorder="1"/>
    <xf numFmtId="171" fontId="7" fillId="0" borderId="0" xfId="5" applyNumberFormat="1" applyFont="1"/>
    <xf numFmtId="171" fontId="1" fillId="0" borderId="0" xfId="5" applyNumberFormat="1"/>
    <xf numFmtId="44" fontId="1" fillId="0" borderId="0" xfId="5" applyNumberFormat="1"/>
    <xf numFmtId="10" fontId="0" fillId="2" borderId="0" xfId="7" applyNumberFormat="1" applyFont="1" applyFill="1"/>
    <xf numFmtId="170" fontId="1" fillId="0" borderId="0" xfId="5" applyNumberFormat="1"/>
    <xf numFmtId="10" fontId="7" fillId="0" borderId="0" xfId="5" applyNumberFormat="1" applyFont="1"/>
    <xf numFmtId="2" fontId="1" fillId="0" borderId="0" xfId="5" applyNumberFormat="1"/>
    <xf numFmtId="44" fontId="7" fillId="0" borderId="0" xfId="6" applyFont="1"/>
    <xf numFmtId="168" fontId="7" fillId="0" borderId="0" xfId="5" applyNumberFormat="1" applyFont="1"/>
    <xf numFmtId="0" fontId="6" fillId="0" borderId="7" xfId="5" applyFont="1" applyBorder="1" applyAlignment="1">
      <alignment horizontal="center"/>
    </xf>
    <xf numFmtId="0" fontId="6" fillId="0" borderId="8" xfId="5" applyFont="1" applyBorder="1" applyAlignment="1">
      <alignment horizontal="center"/>
    </xf>
  </cellXfs>
  <cellStyles count="8">
    <cellStyle name="Currency 2" xfId="6" xr:uid="{EEA4948E-3AC0-4DEF-B725-0D8CBD988B7F}"/>
    <cellStyle name="Normal" xfId="0" builtinId="0"/>
    <cellStyle name="Normal 2" xfId="1" xr:uid="{00000000-0005-0000-0000-000001000000}"/>
    <cellStyle name="Normal 3" xfId="2" xr:uid="{00000000-0005-0000-0000-000002000000}"/>
    <cellStyle name="Normal 3 2" xfId="3" xr:uid="{00000000-0005-0000-0000-000003000000}"/>
    <cellStyle name="Normal 4" xfId="5" xr:uid="{EA44DC49-BAC6-40ED-9A83-B88CF0D6AE0E}"/>
    <cellStyle name="Normal 5" xfId="4" xr:uid="{0B376528-1DA7-48C9-A087-17761E079C00}"/>
    <cellStyle name="Percent 2" xfId="7" xr:uid="{6102EF5B-64CA-4469-A581-33E8FB448F6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5762E-F586-46B5-98E4-8AA28CE86E62}">
  <dimension ref="A4:N105"/>
  <sheetViews>
    <sheetView tabSelected="1" workbookViewId="0">
      <selection activeCell="J34" sqref="J34"/>
    </sheetView>
  </sheetViews>
  <sheetFormatPr defaultColWidth="8.7109375" defaultRowHeight="15" x14ac:dyDescent="0.25"/>
  <cols>
    <col min="1" max="1" width="33.140625" style="1" bestFit="1" customWidth="1"/>
    <col min="2" max="2" width="15.5703125" style="1" bestFit="1" customWidth="1"/>
    <col min="3" max="3" width="12.5703125" style="1" bestFit="1" customWidth="1"/>
    <col min="4" max="6" width="12.42578125" style="1" bestFit="1" customWidth="1"/>
    <col min="7" max="8" width="8.7109375" style="1"/>
    <col min="9" max="9" width="16.5703125" style="1" bestFit="1" customWidth="1"/>
    <col min="10" max="10" width="11.85546875" style="1" bestFit="1" customWidth="1"/>
    <col min="11" max="11" width="12.42578125" style="1" bestFit="1" customWidth="1"/>
    <col min="12" max="14" width="11.85546875" style="1" bestFit="1" customWidth="1"/>
    <col min="15" max="16384" width="8.7109375" style="1"/>
  </cols>
  <sheetData>
    <row r="4" spans="1:14" x14ac:dyDescent="0.25">
      <c r="A4" s="1" t="s">
        <v>7</v>
      </c>
      <c r="B4" s="1">
        <v>1</v>
      </c>
      <c r="C4" s="1">
        <v>2</v>
      </c>
      <c r="D4" s="1">
        <v>3</v>
      </c>
      <c r="E4" s="1">
        <v>4</v>
      </c>
      <c r="F4" s="1">
        <v>5</v>
      </c>
    </row>
    <row r="5" spans="1:14" x14ac:dyDescent="0.25">
      <c r="A5" s="1" t="s">
        <v>8</v>
      </c>
      <c r="B5" s="6">
        <v>3.25</v>
      </c>
      <c r="C5" s="6">
        <v>2.75</v>
      </c>
      <c r="D5" s="6">
        <v>2.5</v>
      </c>
      <c r="E5" s="6">
        <v>3.25</v>
      </c>
      <c r="F5" s="6">
        <v>6.75</v>
      </c>
    </row>
    <row r="6" spans="1:14" x14ac:dyDescent="0.25">
      <c r="A6" s="1" t="s">
        <v>6</v>
      </c>
      <c r="B6" s="16">
        <v>45689</v>
      </c>
      <c r="C6" s="16">
        <v>46447</v>
      </c>
      <c r="D6" s="16">
        <v>47635</v>
      </c>
      <c r="E6" s="16">
        <v>48731</v>
      </c>
      <c r="F6" s="16">
        <v>50192</v>
      </c>
    </row>
    <row r="7" spans="1:14" x14ac:dyDescent="0.25">
      <c r="A7" s="1" t="s">
        <v>9</v>
      </c>
      <c r="B7" s="6">
        <v>100.70099999999999</v>
      </c>
      <c r="C7" s="6">
        <v>96.566000000000003</v>
      </c>
      <c r="D7" s="6">
        <v>91.165000000000006</v>
      </c>
      <c r="E7" s="6">
        <v>93.238</v>
      </c>
      <c r="F7" s="6">
        <v>129.869</v>
      </c>
    </row>
    <row r="8" spans="1:14" x14ac:dyDescent="0.25">
      <c r="A8" s="1" t="s">
        <v>3</v>
      </c>
      <c r="B8" s="6">
        <v>100</v>
      </c>
      <c r="C8" s="6">
        <v>100</v>
      </c>
      <c r="D8" s="6">
        <v>100</v>
      </c>
      <c r="E8" s="6">
        <v>100</v>
      </c>
      <c r="F8" s="6">
        <v>100</v>
      </c>
    </row>
    <row r="9" spans="1:14" x14ac:dyDescent="0.25">
      <c r="A9" s="1" t="s">
        <v>10</v>
      </c>
      <c r="B9" s="6">
        <v>2</v>
      </c>
      <c r="C9" s="6">
        <v>2</v>
      </c>
      <c r="D9" s="6">
        <v>2</v>
      </c>
      <c r="E9" s="6">
        <v>2</v>
      </c>
      <c r="F9" s="6">
        <v>2</v>
      </c>
    </row>
    <row r="10" spans="1:14" x14ac:dyDescent="0.25">
      <c r="A10" s="1" t="s">
        <v>11</v>
      </c>
      <c r="B10" s="17">
        <v>44609</v>
      </c>
    </row>
    <row r="13" spans="1:14" ht="15.75" thickBot="1" x14ac:dyDescent="0.3">
      <c r="A13" s="1" t="s">
        <v>4</v>
      </c>
      <c r="I13" s="1" t="s">
        <v>4</v>
      </c>
    </row>
    <row r="14" spans="1:14" x14ac:dyDescent="0.25">
      <c r="B14" s="1" t="s">
        <v>1</v>
      </c>
      <c r="C14" s="1" t="s">
        <v>2</v>
      </c>
      <c r="D14" s="1" t="s">
        <v>12</v>
      </c>
      <c r="E14" s="1" t="s">
        <v>13</v>
      </c>
      <c r="F14" s="1" t="s">
        <v>14</v>
      </c>
      <c r="I14" s="9"/>
      <c r="J14" s="10" t="s">
        <v>1</v>
      </c>
      <c r="K14" s="10" t="s">
        <v>2</v>
      </c>
      <c r="L14" s="10" t="s">
        <v>12</v>
      </c>
      <c r="M14" s="10" t="s">
        <v>13</v>
      </c>
      <c r="N14" s="11" t="s">
        <v>14</v>
      </c>
    </row>
    <row r="15" spans="1:14" x14ac:dyDescent="0.25">
      <c r="A15" s="1" t="s">
        <v>15</v>
      </c>
      <c r="B15" s="18">
        <f>$B$10</f>
        <v>44609</v>
      </c>
      <c r="C15" s="18">
        <f>$B$10</f>
        <v>44609</v>
      </c>
      <c r="D15" s="18">
        <f>$B$10</f>
        <v>44609</v>
      </c>
      <c r="E15" s="18">
        <f>$B$10</f>
        <v>44609</v>
      </c>
      <c r="F15" s="18">
        <f>$B$10</f>
        <v>44609</v>
      </c>
      <c r="I15" s="4" t="s">
        <v>15</v>
      </c>
      <c r="J15" s="19">
        <v>44609</v>
      </c>
      <c r="K15" s="19">
        <v>44609</v>
      </c>
      <c r="L15" s="19">
        <v>44609</v>
      </c>
      <c r="M15" s="19">
        <v>44609</v>
      </c>
      <c r="N15" s="20">
        <v>44609</v>
      </c>
    </row>
    <row r="16" spans="1:14" x14ac:dyDescent="0.25">
      <c r="A16" s="1" t="str">
        <f>$A$6</f>
        <v>Maturity</v>
      </c>
      <c r="B16" s="18">
        <f>B6</f>
        <v>45689</v>
      </c>
      <c r="C16" s="18">
        <f>C6</f>
        <v>46447</v>
      </c>
      <c r="D16" s="18">
        <f>D6</f>
        <v>47635</v>
      </c>
      <c r="E16" s="18">
        <f>E6</f>
        <v>48731</v>
      </c>
      <c r="F16" s="18">
        <f>F6</f>
        <v>50192</v>
      </c>
      <c r="I16" s="4" t="s">
        <v>6</v>
      </c>
      <c r="J16" s="19">
        <v>45689</v>
      </c>
      <c r="K16" s="19">
        <v>46447</v>
      </c>
      <c r="L16" s="19">
        <v>47635</v>
      </c>
      <c r="M16" s="19">
        <v>48731</v>
      </c>
      <c r="N16" s="20">
        <v>50192</v>
      </c>
    </row>
    <row r="17" spans="1:14" x14ac:dyDescent="0.25">
      <c r="A17" s="1" t="s">
        <v>16</v>
      </c>
      <c r="B17" s="21">
        <f>B5/100</f>
        <v>3.2500000000000001E-2</v>
      </c>
      <c r="C17" s="21">
        <f>C5/100</f>
        <v>2.75E-2</v>
      </c>
      <c r="D17" s="21">
        <f>D5/100</f>
        <v>2.5000000000000001E-2</v>
      </c>
      <c r="E17" s="21">
        <f>E5/100</f>
        <v>3.2500000000000001E-2</v>
      </c>
      <c r="F17" s="21">
        <f>F5/100</f>
        <v>6.7500000000000004E-2</v>
      </c>
      <c r="I17" s="4" t="s">
        <v>16</v>
      </c>
      <c r="J17" s="5">
        <v>3.2500000000000001E-2</v>
      </c>
      <c r="K17" s="5">
        <v>2.75E-2</v>
      </c>
      <c r="L17" s="5">
        <v>2.5000000000000001E-2</v>
      </c>
      <c r="M17" s="5">
        <v>3.2500000000000001E-2</v>
      </c>
      <c r="N17" s="12">
        <v>6.7500000000000004E-2</v>
      </c>
    </row>
    <row r="18" spans="1:14" x14ac:dyDescent="0.25">
      <c r="A18" s="1" t="s">
        <v>17</v>
      </c>
      <c r="B18" s="1">
        <f>B7</f>
        <v>100.70099999999999</v>
      </c>
      <c r="C18" s="1">
        <f>C7</f>
        <v>96.566000000000003</v>
      </c>
      <c r="D18" s="1">
        <f>D7</f>
        <v>91.165000000000006</v>
      </c>
      <c r="E18" s="1">
        <f>E7</f>
        <v>93.238</v>
      </c>
      <c r="F18" s="1">
        <f>F7</f>
        <v>129.869</v>
      </c>
      <c r="I18" s="4" t="s">
        <v>17</v>
      </c>
      <c r="J18" s="5">
        <v>100.70099999999999</v>
      </c>
      <c r="K18" s="5">
        <v>96.566000000000003</v>
      </c>
      <c r="L18" s="5">
        <v>91.165000000000006</v>
      </c>
      <c r="M18" s="5">
        <v>93.238</v>
      </c>
      <c r="N18" s="12">
        <v>129.869</v>
      </c>
    </row>
    <row r="19" spans="1:14" x14ac:dyDescent="0.25">
      <c r="A19" s="8" t="s">
        <v>18</v>
      </c>
      <c r="B19" s="22">
        <f>COUPDAYBS(B15,B16,B9,1)/COUPDAYS(B15,B16,B9,1)</f>
        <v>8.8397790055248615E-2</v>
      </c>
      <c r="C19" s="22">
        <f>COUPDAYBS(C15,C16,C9,1)/COUPDAYS(C15,C16,C9,1)</f>
        <v>0.93370165745856348</v>
      </c>
      <c r="D19" s="22">
        <f>COUPDAYBS(D15,D16,D9,1)/COUPDAYS(D15,D16,D9,1)</f>
        <v>0.42857142857142855</v>
      </c>
      <c r="E19" s="22">
        <f>COUPDAYBS(E15,E16,E9,1)/COUPDAYS(E15,E16,E9,1)</f>
        <v>0.42857142857142855</v>
      </c>
      <c r="F19" s="22">
        <f>COUPDAYBS(F15,F16,F9,1)/COUPDAYS(F15,F16,F9,1)</f>
        <v>0.42857142857142855</v>
      </c>
      <c r="I19" s="13" t="s">
        <v>18</v>
      </c>
      <c r="J19" s="23">
        <v>8.8397790055248615E-2</v>
      </c>
      <c r="K19" s="23">
        <v>0.93370165745856348</v>
      </c>
      <c r="L19" s="23">
        <v>0.42857142857142855</v>
      </c>
      <c r="M19" s="23">
        <v>0.42857142857142855</v>
      </c>
      <c r="N19" s="24">
        <v>0.42857142857142855</v>
      </c>
    </row>
    <row r="20" spans="1:14" x14ac:dyDescent="0.25">
      <c r="A20" s="7" t="s">
        <v>19</v>
      </c>
      <c r="B20" s="3">
        <f>B18+B26*(B17*B8/2)</f>
        <v>100.84464640883978</v>
      </c>
      <c r="C20" s="3">
        <f>C18+C26*(C17*C8/2)</f>
        <v>97.849839779005521</v>
      </c>
      <c r="D20" s="3">
        <f>D18+D26*(D17*D8/2)</f>
        <v>91.700714285714298</v>
      </c>
      <c r="E20" s="3">
        <f>E18+E26*(E17*E8/2)</f>
        <v>93.934428571428569</v>
      </c>
      <c r="F20" s="3">
        <f>F18+F26*(F17*F8/2)</f>
        <v>131.31542857142858</v>
      </c>
      <c r="I20" s="13" t="s">
        <v>19</v>
      </c>
      <c r="J20" s="23">
        <v>100.84464640883978</v>
      </c>
      <c r="K20" s="23">
        <v>97.849839779005521</v>
      </c>
      <c r="L20" s="23">
        <v>91.700714285714298</v>
      </c>
      <c r="M20" s="23">
        <v>93.934428571428569</v>
      </c>
      <c r="N20" s="24">
        <v>131.31542857142858</v>
      </c>
    </row>
    <row r="21" spans="1:14" ht="15.75" thickBot="1" x14ac:dyDescent="0.3">
      <c r="A21" s="7" t="s">
        <v>20</v>
      </c>
      <c r="B21" s="7">
        <f>YIELD(B15,B16,B17,B18,B8,B9,1)</f>
        <v>3.0000491182589226E-2</v>
      </c>
      <c r="C21" s="7">
        <f>YIELD(C15,C16,C17,C18,C8,C9,1)</f>
        <v>3.4999090448898797E-2</v>
      </c>
      <c r="D21" s="7">
        <f>YIELD(D15,D16,D17,D18,D8,D9,1)</f>
        <v>3.7499983904106721E-2</v>
      </c>
      <c r="E21" s="7">
        <f>YIELD(E15,E16,E17,E18,E8,E9,1)</f>
        <v>3.9999799494849581E-2</v>
      </c>
      <c r="F21" s="7">
        <f>YIELD(F15,F16,F17,F18,F8,F9,1)</f>
        <v>4.1000215476650982E-2</v>
      </c>
      <c r="I21" s="25" t="s">
        <v>20</v>
      </c>
      <c r="J21" s="14">
        <v>3.0000491182589226E-2</v>
      </c>
      <c r="K21" s="14">
        <v>3.4999090448898797E-2</v>
      </c>
      <c r="L21" s="14">
        <v>3.7499983904106721E-2</v>
      </c>
      <c r="M21" s="14">
        <v>3.9999799494849581E-2</v>
      </c>
      <c r="N21" s="26">
        <v>4.1000215476650982E-2</v>
      </c>
    </row>
    <row r="24" spans="1:14" x14ac:dyDescent="0.25">
      <c r="A24" s="27" t="s">
        <v>21</v>
      </c>
    </row>
    <row r="25" spans="1:14" x14ac:dyDescent="0.25">
      <c r="A25" s="1" t="s">
        <v>7</v>
      </c>
      <c r="B25" s="1">
        <v>1</v>
      </c>
      <c r="C25" s="1">
        <v>2</v>
      </c>
      <c r="D25" s="1">
        <v>3</v>
      </c>
      <c r="E25" s="1">
        <v>4</v>
      </c>
      <c r="F25" s="1">
        <v>5</v>
      </c>
    </row>
    <row r="26" spans="1:14" x14ac:dyDescent="0.25">
      <c r="A26" s="1" t="s">
        <v>22</v>
      </c>
      <c r="B26" s="1">
        <f>COUPDAYBS(B15,B16,B9,1)/COUPDAYS(B15,B16,B9,1)</f>
        <v>8.8397790055248615E-2</v>
      </c>
      <c r="C26" s="1">
        <f>COUPDAYBS(C15,C16,C9,1)/COUPDAYS(C15,C16,C9,1)</f>
        <v>0.93370165745856348</v>
      </c>
      <c r="D26" s="1">
        <f>COUPDAYBS(D15,D16,D9,1)/COUPDAYS(D15,D16,D9,1)</f>
        <v>0.42857142857142855</v>
      </c>
      <c r="E26" s="1">
        <f>COUPDAYBS(E15,E16,E9,1)/COUPDAYS(E15,E16,E9,1)</f>
        <v>0.42857142857142855</v>
      </c>
      <c r="F26" s="1">
        <f>COUPDAYBS(F15,F16,F9,1)/COUPDAYS(F15,F16,F9,1)</f>
        <v>0.42857142857142855</v>
      </c>
    </row>
    <row r="27" spans="1:14" x14ac:dyDescent="0.25">
      <c r="A27" s="1" t="s">
        <v>23</v>
      </c>
      <c r="B27" s="1">
        <f>B21/2</f>
        <v>1.5000245591294613E-2</v>
      </c>
      <c r="C27" s="1">
        <f>C21/2</f>
        <v>1.7499545224449398E-2</v>
      </c>
      <c r="D27" s="1">
        <f>D21/2</f>
        <v>1.874999195205336E-2</v>
      </c>
      <c r="E27" s="1">
        <f>E21/2</f>
        <v>1.999989974742479E-2</v>
      </c>
      <c r="F27" s="1">
        <f>F21/2</f>
        <v>2.0500107738325491E-2</v>
      </c>
    </row>
    <row r="28" spans="1:14" x14ac:dyDescent="0.25">
      <c r="A28" s="1" t="s">
        <v>24</v>
      </c>
      <c r="B28" s="1">
        <f>B17/2</f>
        <v>1.6250000000000001E-2</v>
      </c>
      <c r="C28" s="1">
        <f>C17/2</f>
        <v>1.375E-2</v>
      </c>
      <c r="D28" s="1">
        <f>D17/2</f>
        <v>1.2500000000000001E-2</v>
      </c>
      <c r="E28" s="1">
        <f>E17/2</f>
        <v>1.6250000000000001E-2</v>
      </c>
      <c r="F28" s="1">
        <f>F17/2</f>
        <v>3.3750000000000002E-2</v>
      </c>
      <c r="G28" s="7"/>
    </row>
    <row r="29" spans="1:14" x14ac:dyDescent="0.25">
      <c r="A29" s="8" t="s">
        <v>25</v>
      </c>
      <c r="B29" s="8">
        <f>COUPNUM(B15,B16,B9,1)</f>
        <v>6</v>
      </c>
      <c r="C29" s="8">
        <f>COUPNUM(C15,C16,C9,1)</f>
        <v>11</v>
      </c>
      <c r="D29" s="8">
        <f>COUPNUM(D15,D16,D9,1)</f>
        <v>17</v>
      </c>
      <c r="E29" s="8">
        <f>COUPNUM(E15,E16,E9,1)</f>
        <v>23</v>
      </c>
      <c r="F29" s="8">
        <f>COUPNUM(F15,F16,F9,1)</f>
        <v>31</v>
      </c>
    </row>
    <row r="30" spans="1:14" x14ac:dyDescent="0.25">
      <c r="A30" s="1" t="s">
        <v>26</v>
      </c>
      <c r="B30" s="7">
        <f>(1+B27)/B27-((1+B27)+B29*(B28-B27))/(B28*((1+B27)^B29-1)+B27)</f>
        <v>5.7661968822917231</v>
      </c>
      <c r="C30" s="7">
        <f t="shared" ref="C30:F30" si="0">(1+C27)/C27-((1+C27)+C29*(C28-C27))/(C28*((1+C27)^C29-1)+C27)</f>
        <v>10.266513718239374</v>
      </c>
      <c r="D30" s="7">
        <f t="shared" si="0"/>
        <v>15.324144940402526</v>
      </c>
      <c r="E30" s="7">
        <f t="shared" si="0"/>
        <v>19.21235159285197</v>
      </c>
      <c r="F30" s="7">
        <f t="shared" si="0"/>
        <v>21.1901796891899</v>
      </c>
    </row>
    <row r="31" spans="1:14" x14ac:dyDescent="0.25">
      <c r="A31" s="1" t="s">
        <v>27</v>
      </c>
      <c r="B31" s="7">
        <f>(B30-B26)/B9</f>
        <v>2.8388995461182374</v>
      </c>
      <c r="C31" s="7">
        <f>(C30-C26)/C9</f>
        <v>4.6664060303904051</v>
      </c>
      <c r="D31" s="7">
        <f>(D30-D26)/D9</f>
        <v>7.4477867559155486</v>
      </c>
      <c r="E31" s="7">
        <f>(E30-E26)/E9</f>
        <v>9.3918900821402715</v>
      </c>
      <c r="F31" s="7">
        <f>(F30-F26)/F9</f>
        <v>10.380804130309237</v>
      </c>
    </row>
    <row r="32" spans="1:14" x14ac:dyDescent="0.25">
      <c r="A32" s="1" t="s">
        <v>28</v>
      </c>
      <c r="B32" s="28">
        <f>B31/(1+B27)</f>
        <v>2.796944688879774</v>
      </c>
      <c r="C32" s="28">
        <f t="shared" ref="C32:F32" si="1">C31/(1+C27)</f>
        <v>4.5861504826137756</v>
      </c>
      <c r="D32" s="28">
        <f t="shared" si="1"/>
        <v>7.3107109838054098</v>
      </c>
      <c r="E32" s="28">
        <f t="shared" si="1"/>
        <v>9.2077362796466122</v>
      </c>
      <c r="F32" s="28">
        <f t="shared" si="1"/>
        <v>10.172271469246194</v>
      </c>
    </row>
    <row r="38" spans="1:9" x14ac:dyDescent="0.25">
      <c r="A38" s="1" t="s">
        <v>29</v>
      </c>
      <c r="B38" s="1">
        <v>9.995192218713202E-3</v>
      </c>
      <c r="C38" s="1">
        <v>9.3739748319976689E-3</v>
      </c>
      <c r="D38" s="1">
        <v>9.3954891201723113E-3</v>
      </c>
      <c r="E38" s="1">
        <v>9.9712529108867739E-3</v>
      </c>
      <c r="F38" s="1">
        <v>1.1087049456060451E-2</v>
      </c>
    </row>
    <row r="39" spans="1:9" x14ac:dyDescent="0.25">
      <c r="A39" s="1" t="s">
        <v>30</v>
      </c>
      <c r="B39" s="1">
        <v>1.125E-2</v>
      </c>
      <c r="C39" s="1">
        <v>8.7500000000000008E-3</v>
      </c>
      <c r="D39" s="1">
        <v>7.4999999999999997E-3</v>
      </c>
      <c r="E39" s="1">
        <v>1.125E-2</v>
      </c>
      <c r="F39" s="1">
        <v>2.8750000000000001E-2</v>
      </c>
    </row>
    <row r="40" spans="1:9" x14ac:dyDescent="0.25">
      <c r="A40" s="1" t="s">
        <v>25</v>
      </c>
      <c r="B40" s="1">
        <v>6</v>
      </c>
      <c r="C40" s="1">
        <v>11</v>
      </c>
      <c r="D40" s="1">
        <v>17</v>
      </c>
      <c r="E40" s="1">
        <v>23</v>
      </c>
      <c r="F40" s="1">
        <v>31</v>
      </c>
    </row>
    <row r="42" spans="1:9" x14ac:dyDescent="0.25">
      <c r="A42" s="1" t="str">
        <f ca="1">_xlfn.FORMULATEXT(B42)</f>
        <v>=B28/B27^3</v>
      </c>
      <c r="B42" s="1">
        <f>B28/B27^3</f>
        <v>4814.578327238024</v>
      </c>
      <c r="C42" s="1">
        <f>C28/C27^3</f>
        <v>2565.7976959362072</v>
      </c>
      <c r="D42" s="1">
        <f>D28/D27^3</f>
        <v>1896.2987381050173</v>
      </c>
      <c r="E42" s="1">
        <f>E28/E27^3</f>
        <v>2031.2805460127404</v>
      </c>
      <c r="F42" s="1">
        <f>F28/F27^3</f>
        <v>3917.4669994197134</v>
      </c>
    </row>
    <row r="43" spans="1:9" x14ac:dyDescent="0.25">
      <c r="A43" s="1" t="str">
        <f ca="1">_xlfn.FORMULATEXT(B43)</f>
        <v>=((B29+1)*(B29+2))/((1+B27)^B29)</v>
      </c>
      <c r="B43" s="1">
        <f>((B29+1)*(B29+2))/((1+B27)^B29)</f>
        <v>51.214288429526881</v>
      </c>
      <c r="C43" s="1">
        <f>((C29+1)*(C29+2))/((1+C27)^C29)</f>
        <v>128.8985810917155</v>
      </c>
      <c r="D43" s="1">
        <f>((D29+1)*(D29+2))/((1+D27)^D29)</f>
        <v>249.38859853404421</v>
      </c>
      <c r="E43" s="1">
        <f>((E29+1)*(E29+2))/((1+E27)^E29)</f>
        <v>380.49441076227384</v>
      </c>
      <c r="F43" s="1">
        <f>((F29+1)*(F29+2))/((1+F27)^F29)</f>
        <v>562.93625063253808</v>
      </c>
    </row>
    <row r="44" spans="1:9" x14ac:dyDescent="0.25">
      <c r="A44" s="1" t="str">
        <f ca="1">_xlfn.FORMULATEXT(B44)</f>
        <v>=((2*B29)*(B29+2))/((1+B27)^(B29+1))</v>
      </c>
      <c r="B44" s="1">
        <f>((2*B29)*(B29+2))/((1+B27)^(B29+1))</f>
        <v>86.498425397818536</v>
      </c>
      <c r="C44" s="1">
        <f>((2*C29)*(C29+2))/((1+C27)^(C29+1))</f>
        <v>232.24979946569255</v>
      </c>
      <c r="D44" s="1">
        <f>((2*D29)*(D29+2))/((1+D27)^(D29+1))</f>
        <v>462.39740516110692</v>
      </c>
      <c r="E44" s="1">
        <f>((2*E29)*(E29+2))/((1+E27)^(E29+1))</f>
        <v>714.9813976860305</v>
      </c>
      <c r="F44" s="1">
        <f>((2*F29)*(F29+2))/((1+F27)^(F29+1))</f>
        <v>1068.7789029417866</v>
      </c>
    </row>
    <row r="45" spans="1:9" x14ac:dyDescent="0.25">
      <c r="A45" s="1" t="str">
        <f ca="1">_xlfn.FORMULATEXT(B45)</f>
        <v>=(1-B42)</v>
      </c>
      <c r="B45" s="1">
        <f>(1-B42)</f>
        <v>-4813.578327238024</v>
      </c>
      <c r="C45" s="1">
        <f>(1-C42)</f>
        <v>-2564.7976959362072</v>
      </c>
      <c r="D45" s="1">
        <f t="shared" ref="D45:F45" si="2">(1-D42)</f>
        <v>-1895.2987381050173</v>
      </c>
      <c r="E45" s="1">
        <f t="shared" si="2"/>
        <v>-2030.2805460127404</v>
      </c>
      <c r="F45" s="1">
        <f t="shared" si="2"/>
        <v>-3916.4669994197134</v>
      </c>
    </row>
    <row r="46" spans="1:9" x14ac:dyDescent="0.25">
      <c r="A46" s="1" t="str">
        <f ca="1">_xlfn.FORMULATEXT(B46)</f>
        <v>=(B29*(B29+1))/((1+B27)^(B29+2))</v>
      </c>
      <c r="B46" s="1">
        <f>(B29*(B29+1))/((1+B27)^(B29+2))</f>
        <v>37.283795029527212</v>
      </c>
      <c r="C46" s="1">
        <f>(C29*(C29+1))/((1+C27)^(C29+2))</f>
        <v>105.34866147224322</v>
      </c>
      <c r="D46" s="1">
        <f>(D29*(D29+1))/((1+D27)^(D29+2))</f>
        <v>214.99911807946731</v>
      </c>
      <c r="E46" s="1">
        <f>(E29*(E29+1))/((1+E27)^(E29+2))</f>
        <v>336.46186727496399</v>
      </c>
      <c r="F46" s="1">
        <f>(F29*(F29+1))/((1+F27)^(F29+2))</f>
        <v>507.78616072642865</v>
      </c>
    </row>
    <row r="47" spans="1:9" x14ac:dyDescent="0.25">
      <c r="A47" s="1" t="s">
        <v>31</v>
      </c>
      <c r="B47" s="1">
        <f>B42*(2-B43+B44)+B45*B46</f>
        <v>38.930085994070396</v>
      </c>
      <c r="C47" s="1">
        <f>C42*(2-C43+C44)+C45*C46</f>
        <v>111.90915404964471</v>
      </c>
      <c r="D47" s="1">
        <f t="shared" ref="D47:F47" si="3">D42*(2-D43+D44)+D45*D46</f>
        <v>233.37149865867104</v>
      </c>
      <c r="E47" s="1">
        <f t="shared" si="3"/>
        <v>387.48692119016778</v>
      </c>
      <c r="F47" s="1">
        <f t="shared" si="3"/>
        <v>729.0900721680373</v>
      </c>
    </row>
    <row r="48" spans="1:9" ht="15.75" thickBot="1" x14ac:dyDescent="0.3">
      <c r="I48" s="1" t="s">
        <v>32</v>
      </c>
    </row>
    <row r="49" spans="1:14" x14ac:dyDescent="0.25">
      <c r="I49" s="9" t="s">
        <v>7</v>
      </c>
      <c r="J49" s="10">
        <v>1</v>
      </c>
      <c r="K49" s="10">
        <v>2</v>
      </c>
      <c r="L49" s="10">
        <v>3</v>
      </c>
      <c r="M49" s="10">
        <v>4</v>
      </c>
      <c r="N49" s="11">
        <v>5</v>
      </c>
    </row>
    <row r="50" spans="1:14" x14ac:dyDescent="0.25">
      <c r="A50" s="1" t="str">
        <f ca="1">_xlfn.FORMULATEXT(B50)</f>
        <v>=B28</v>
      </c>
      <c r="B50" s="1">
        <f>B28</f>
        <v>1.6250000000000001E-2</v>
      </c>
      <c r="C50" s="1">
        <f>C28</f>
        <v>1.375E-2</v>
      </c>
      <c r="D50" s="1">
        <f>D28</f>
        <v>1.2500000000000001E-2</v>
      </c>
      <c r="E50" s="1">
        <f>E28</f>
        <v>1.6250000000000001E-2</v>
      </c>
      <c r="F50" s="1">
        <f>F28</f>
        <v>3.3750000000000002E-2</v>
      </c>
      <c r="I50" s="4" t="s">
        <v>25</v>
      </c>
      <c r="J50" s="5">
        <v>6</v>
      </c>
      <c r="K50" s="5">
        <v>11</v>
      </c>
      <c r="L50" s="5">
        <v>17</v>
      </c>
      <c r="M50" s="5">
        <v>23</v>
      </c>
      <c r="N50" s="12">
        <v>31</v>
      </c>
    </row>
    <row r="51" spans="1:14" x14ac:dyDescent="0.25">
      <c r="A51" s="1" t="str">
        <f ca="1">_xlfn.FORMULATEXT(B51)</f>
        <v>=(1/B27)-(1/(B27*(1+B27)^(B29)))</v>
      </c>
      <c r="B51" s="1">
        <f>(1/B27)-(1/(B27*(1+B27)^(B29)))</f>
        <v>5.6971824005745546</v>
      </c>
      <c r="C51" s="1">
        <f>(1/C27)-(1/(C27*(1+C27)^(C29)))</f>
        <v>9.9275176614963172</v>
      </c>
      <c r="D51" s="1">
        <f>(1/D27)-(1/(D27*(1+D27)^(D29)))</f>
        <v>14.442330014345799</v>
      </c>
      <c r="E51" s="1">
        <f>(1/E27)-(1/(E27*(1+E27)^(E29)))</f>
        <v>18.292224128605941</v>
      </c>
      <c r="F51" s="1">
        <f>(1/F27)-(1/(F27*(1+F27)^(F29)))</f>
        <v>22.776291485158168</v>
      </c>
      <c r="I51" s="13" t="s">
        <v>26</v>
      </c>
      <c r="J51" s="23">
        <v>5.7661968822917231</v>
      </c>
      <c r="K51" s="23">
        <v>10.266513718239374</v>
      </c>
      <c r="L51" s="23">
        <v>15.324144940402526</v>
      </c>
      <c r="M51" s="23">
        <v>19.21235159285197</v>
      </c>
      <c r="N51" s="24">
        <v>21.1901796891899</v>
      </c>
    </row>
    <row r="52" spans="1:14" x14ac:dyDescent="0.25">
      <c r="A52" s="1" t="str">
        <f ca="1">_xlfn.FORMULATEXT(B52)</f>
        <v>=1/(1+B27)^B29</v>
      </c>
      <c r="B52" s="1">
        <f>1/(1+B27)^B29</f>
        <v>0.91454086481298014</v>
      </c>
      <c r="C52" s="1">
        <f>1/(1+C27)^C29</f>
        <v>0.82627295571612502</v>
      </c>
      <c r="D52" s="1">
        <f>1/(1+D27)^D29</f>
        <v>0.72920642846211758</v>
      </c>
      <c r="E52" s="1">
        <f>1/(1+E27)^E29</f>
        <v>0.63415735127045647</v>
      </c>
      <c r="F52" s="1">
        <f>1/(1+F27)^F29</f>
        <v>0.53308357067475198</v>
      </c>
      <c r="I52" s="13" t="s">
        <v>27</v>
      </c>
      <c r="J52" s="23">
        <v>2.8388995461182374</v>
      </c>
      <c r="K52" s="23">
        <v>4.6664060303904051</v>
      </c>
      <c r="L52" s="23">
        <v>7.4477867559155486</v>
      </c>
      <c r="M52" s="23">
        <v>9.3918900821402715</v>
      </c>
      <c r="N52" s="24">
        <v>10.380804130309237</v>
      </c>
    </row>
    <row r="53" spans="1:14" x14ac:dyDescent="0.25">
      <c r="A53" s="1" t="s">
        <v>33</v>
      </c>
      <c r="B53" s="1">
        <f>B50*B51+B52</f>
        <v>1.0071200788223167</v>
      </c>
      <c r="C53" s="1">
        <f>C50*C51+C52</f>
        <v>0.9627763235616994</v>
      </c>
      <c r="D53" s="1">
        <f t="shared" ref="D53:F53" si="4">D50*D51+D52</f>
        <v>0.9097355536414401</v>
      </c>
      <c r="E53" s="1">
        <f t="shared" si="4"/>
        <v>0.93140599336030294</v>
      </c>
      <c r="F53" s="1">
        <f t="shared" si="4"/>
        <v>1.3017834082988402</v>
      </c>
      <c r="I53" s="13" t="s">
        <v>28</v>
      </c>
      <c r="J53" s="23">
        <v>2.796944688879774</v>
      </c>
      <c r="K53" s="23">
        <v>4.5861504826137756</v>
      </c>
      <c r="L53" s="23">
        <v>7.3107109838054098</v>
      </c>
      <c r="M53" s="23">
        <v>9.2077362796466122</v>
      </c>
      <c r="N53" s="24">
        <v>10.172271469246194</v>
      </c>
    </row>
    <row r="54" spans="1:14" x14ac:dyDescent="0.25">
      <c r="A54" s="1" t="s">
        <v>34</v>
      </c>
      <c r="B54" s="7">
        <f>B47/B53</f>
        <v>38.654860341572757</v>
      </c>
      <c r="C54" s="7">
        <f>C47/C53</f>
        <v>116.23588086965771</v>
      </c>
      <c r="D54" s="7">
        <f t="shared" ref="D54:E54" si="5">D47/D53</f>
        <v>256.52674310083216</v>
      </c>
      <c r="E54" s="7">
        <f t="shared" si="5"/>
        <v>416.02365021530761</v>
      </c>
      <c r="F54" s="7">
        <f>F47/F53</f>
        <v>560.07018335009059</v>
      </c>
      <c r="I54" s="13" t="s">
        <v>34</v>
      </c>
      <c r="J54" s="23">
        <v>38.654860341572757</v>
      </c>
      <c r="K54" s="23">
        <v>116.23588086965771</v>
      </c>
      <c r="L54" s="23">
        <v>256.52674310083216</v>
      </c>
      <c r="M54" s="23">
        <v>416.02365021530761</v>
      </c>
      <c r="N54" s="24">
        <v>560.07018335009059</v>
      </c>
    </row>
    <row r="55" spans="1:14" x14ac:dyDescent="0.25">
      <c r="A55" s="1" t="s">
        <v>35</v>
      </c>
      <c r="B55" s="7">
        <f>B54-(B26*(2*B30+1-B26))/(1+B27)^2</f>
        <v>37.587111829084449</v>
      </c>
      <c r="C55" s="7">
        <f>C54-(C26*(2*C30+1-C26))/(1+C27)^2</f>
        <v>97.658149096574093</v>
      </c>
      <c r="D55" s="7">
        <f>D54-(D26*(2*D30+1-D26))/(1+D27)^2</f>
        <v>243.63484214744417</v>
      </c>
      <c r="E55" s="7">
        <f>E54-(E26*(2*E30+1-E26))/(1+E27)^2</f>
        <v>399.95999087161562</v>
      </c>
      <c r="F55" s="7">
        <f>F54-(F26*(2*F30+1-F26))/(1+F27)^2</f>
        <v>542.39441294467383</v>
      </c>
      <c r="I55" s="13" t="s">
        <v>35</v>
      </c>
      <c r="J55" s="23">
        <v>37.587111829084449</v>
      </c>
      <c r="K55" s="23">
        <v>97.658149096574093</v>
      </c>
      <c r="L55" s="23">
        <v>243.63484214744417</v>
      </c>
      <c r="M55" s="23">
        <v>399.95999087161562</v>
      </c>
      <c r="N55" s="24">
        <v>542.39441294467383</v>
      </c>
    </row>
    <row r="56" spans="1:14" ht="15.75" thickBot="1" x14ac:dyDescent="0.3">
      <c r="A56" s="1" t="s">
        <v>36</v>
      </c>
      <c r="B56" s="7">
        <f>B55/4</f>
        <v>9.3967779572711123</v>
      </c>
      <c r="C56" s="7">
        <f>C55/4</f>
        <v>24.414537274143523</v>
      </c>
      <c r="D56" s="7">
        <f t="shared" ref="D56:E56" si="6">D55/4</f>
        <v>60.908710536861044</v>
      </c>
      <c r="E56" s="7">
        <f t="shared" si="6"/>
        <v>99.989997717903904</v>
      </c>
      <c r="F56" s="7">
        <f>F55/4</f>
        <v>135.59860323616846</v>
      </c>
      <c r="I56" s="25" t="s">
        <v>36</v>
      </c>
      <c r="J56" s="14">
        <v>9.3967779572711123</v>
      </c>
      <c r="K56" s="14">
        <v>24.414537274143523</v>
      </c>
      <c r="L56" s="14">
        <v>60.908710536861044</v>
      </c>
      <c r="M56" s="14">
        <v>99.989997717903904</v>
      </c>
      <c r="N56" s="26">
        <v>135.59860323616846</v>
      </c>
    </row>
    <row r="58" spans="1:14" x14ac:dyDescent="0.25">
      <c r="A58" s="27" t="s">
        <v>37</v>
      </c>
    </row>
    <row r="59" spans="1:14" x14ac:dyDescent="0.25">
      <c r="A59" s="1" t="s">
        <v>38</v>
      </c>
      <c r="B59" s="29">
        <v>200000</v>
      </c>
    </row>
    <row r="60" spans="1:14" x14ac:dyDescent="0.25">
      <c r="A60" s="1" t="s">
        <v>27</v>
      </c>
      <c r="B60" s="30">
        <v>7.5</v>
      </c>
    </row>
    <row r="61" spans="1:14" x14ac:dyDescent="0.25">
      <c r="A61" s="1" t="s">
        <v>35</v>
      </c>
      <c r="B61" s="30">
        <v>65</v>
      </c>
    </row>
    <row r="62" spans="1:14" ht="15.75" thickBot="1" x14ac:dyDescent="0.3">
      <c r="I62" s="1" t="s">
        <v>37</v>
      </c>
    </row>
    <row r="63" spans="1:14" x14ac:dyDescent="0.25">
      <c r="C63" s="1" t="s">
        <v>39</v>
      </c>
      <c r="D63" s="1" t="s">
        <v>40</v>
      </c>
      <c r="E63" s="1" t="s">
        <v>41</v>
      </c>
      <c r="I63" s="9" t="s">
        <v>7</v>
      </c>
      <c r="J63" s="10">
        <v>2</v>
      </c>
      <c r="K63" s="10">
        <v>3</v>
      </c>
      <c r="L63" s="11">
        <v>4</v>
      </c>
    </row>
    <row r="64" spans="1:14" x14ac:dyDescent="0.25">
      <c r="A64" s="1" t="str">
        <f>A60</f>
        <v>MacDur</v>
      </c>
      <c r="C64" s="1">
        <f>C31</f>
        <v>4.6664060303904051</v>
      </c>
      <c r="D64" s="1">
        <f>D31</f>
        <v>7.4477867559155486</v>
      </c>
      <c r="E64" s="1">
        <f>E31</f>
        <v>9.3918900821402715</v>
      </c>
      <c r="F64" s="1">
        <f>B60</f>
        <v>7.5</v>
      </c>
      <c r="I64" s="13" t="s">
        <v>42</v>
      </c>
      <c r="J64" s="23">
        <v>0.15663826347103721</v>
      </c>
      <c r="K64" s="23">
        <v>0.59240599541808647</v>
      </c>
      <c r="L64" s="24">
        <v>0.25095574111087854</v>
      </c>
    </row>
    <row r="65" spans="1:12" x14ac:dyDescent="0.25">
      <c r="A65" s="1" t="str">
        <f>A61</f>
        <v>Conv</v>
      </c>
      <c r="C65" s="1">
        <f>C56</f>
        <v>24.414537274143523</v>
      </c>
      <c r="D65" s="1">
        <f>D56</f>
        <v>60.908710536861044</v>
      </c>
      <c r="E65" s="1">
        <f>E56</f>
        <v>99.989997717903904</v>
      </c>
      <c r="F65" s="1">
        <f>B61</f>
        <v>65</v>
      </c>
      <c r="I65" s="13" t="s">
        <v>43</v>
      </c>
      <c r="J65" s="23">
        <v>160.08024522554734</v>
      </c>
      <c r="K65" s="23">
        <v>646.0211352032785</v>
      </c>
      <c r="L65" s="24">
        <v>267.16055542941803</v>
      </c>
    </row>
    <row r="66" spans="1:12" ht="15.75" thickBot="1" x14ac:dyDescent="0.3">
      <c r="A66" s="1" t="s">
        <v>44</v>
      </c>
      <c r="C66" s="1">
        <v>1</v>
      </c>
      <c r="D66" s="1">
        <v>1</v>
      </c>
      <c r="E66" s="1">
        <v>1</v>
      </c>
      <c r="F66" s="1">
        <v>1</v>
      </c>
      <c r="I66" s="25" t="s">
        <v>45</v>
      </c>
      <c r="J66" s="31">
        <f>C70</f>
        <v>31327.652694207442</v>
      </c>
      <c r="K66" s="31">
        <f t="shared" ref="K66:L66" si="7">D70</f>
        <v>118481.19908361729</v>
      </c>
      <c r="L66" s="15">
        <f t="shared" si="7"/>
        <v>50191.148222175703</v>
      </c>
    </row>
    <row r="68" spans="1:12" x14ac:dyDescent="0.25">
      <c r="B68" s="7" t="s">
        <v>42</v>
      </c>
      <c r="C68" s="8">
        <f>295666433172566000/1887574763794770000</f>
        <v>0.15663826347103721</v>
      </c>
      <c r="D68" s="8">
        <f>1118210606871900000/1887574763794770000</f>
        <v>0.59240599541808647</v>
      </c>
      <c r="E68" s="8">
        <f>473697723750308000/1887574763794770000</f>
        <v>0.25095574111087854</v>
      </c>
      <c r="F68" s="1">
        <f>SUM(C68:E68)</f>
        <v>1.0000000000000022</v>
      </c>
    </row>
    <row r="69" spans="1:12" x14ac:dyDescent="0.25">
      <c r="B69" s="7" t="s">
        <v>43</v>
      </c>
      <c r="C69" s="32">
        <f>C68*($B$59/C20)</f>
        <v>320.16049045109469</v>
      </c>
      <c r="D69" s="32">
        <f t="shared" ref="D69:E69" si="8">D68*($B$59/D20)</f>
        <v>1292.042270406557</v>
      </c>
      <c r="E69" s="32">
        <f t="shared" si="8"/>
        <v>534.32111085883605</v>
      </c>
      <c r="F69" s="33"/>
    </row>
    <row r="70" spans="1:12" x14ac:dyDescent="0.25">
      <c r="C70" s="34">
        <f>C69*C20</f>
        <v>31327.652694207442</v>
      </c>
      <c r="D70" s="34">
        <f t="shared" ref="D70:E70" si="9">D69*D20</f>
        <v>118481.19908361729</v>
      </c>
      <c r="E70" s="34">
        <f t="shared" si="9"/>
        <v>50191.148222175703</v>
      </c>
      <c r="F70" s="34">
        <f>SUM(C70:E70)</f>
        <v>200000.00000000047</v>
      </c>
    </row>
    <row r="74" spans="1:12" ht="15.75" thickBot="1" x14ac:dyDescent="0.3">
      <c r="A74" s="1" t="s">
        <v>46</v>
      </c>
      <c r="I74" s="1" t="s">
        <v>46</v>
      </c>
    </row>
    <row r="75" spans="1:12" x14ac:dyDescent="0.25">
      <c r="A75" s="1" t="s">
        <v>47</v>
      </c>
      <c r="B75" s="35">
        <v>2.5000000000000001E-3</v>
      </c>
      <c r="I75" s="9" t="s">
        <v>7</v>
      </c>
      <c r="J75" s="10">
        <v>2</v>
      </c>
      <c r="K75" s="10">
        <v>3</v>
      </c>
      <c r="L75" s="11">
        <v>4</v>
      </c>
    </row>
    <row r="76" spans="1:12" x14ac:dyDescent="0.25">
      <c r="C76" s="1" t="s">
        <v>39</v>
      </c>
      <c r="D76" s="1" t="s">
        <v>40</v>
      </c>
      <c r="E76" s="1" t="s">
        <v>41</v>
      </c>
      <c r="I76" s="13" t="s">
        <v>48</v>
      </c>
      <c r="J76" s="23">
        <v>-1.1389080777552742E-2</v>
      </c>
      <c r="K76" s="23">
        <v>-1.8086437739085835E-2</v>
      </c>
      <c r="L76" s="24">
        <v>-2.2706871956248081E-2</v>
      </c>
    </row>
    <row r="77" spans="1:12" x14ac:dyDescent="0.25">
      <c r="B77" s="1" t="s">
        <v>48</v>
      </c>
      <c r="C77" s="36">
        <f>-C32*$B$75+0.5*C56*$B$75^2</f>
        <v>-1.1389080777552742E-2</v>
      </c>
      <c r="D77" s="36">
        <f>-D32*$B$75+0.5*D56*$B$75^2</f>
        <v>-1.8086437739085835E-2</v>
      </c>
      <c r="E77" s="36">
        <f>-E32*$B$75+0.5*E56*$B$75^2</f>
        <v>-2.2706871956248081E-2</v>
      </c>
      <c r="I77" s="13" t="s">
        <v>5</v>
      </c>
      <c r="J77" s="23">
        <v>3.7499090448898799E-2</v>
      </c>
      <c r="K77" s="23">
        <v>3.9999983904106723E-2</v>
      </c>
      <c r="L77" s="24">
        <v>4.2499799494849583E-2</v>
      </c>
    </row>
    <row r="78" spans="1:12" x14ac:dyDescent="0.25">
      <c r="B78" s="7" t="s">
        <v>5</v>
      </c>
      <c r="C78" s="37">
        <f>$B$75+C21</f>
        <v>3.7499090448898799E-2</v>
      </c>
      <c r="D78" s="37">
        <f t="shared" ref="D78:E78" si="10">$B$75+D21</f>
        <v>3.9999983904106723E-2</v>
      </c>
      <c r="E78" s="37">
        <f t="shared" si="10"/>
        <v>4.2499799494849583E-2</v>
      </c>
      <c r="I78" s="13" t="s">
        <v>49</v>
      </c>
      <c r="J78" s="23">
        <v>96.735383696814864</v>
      </c>
      <c r="K78" s="23">
        <v>90.042045478265749</v>
      </c>
      <c r="L78" s="24">
        <v>91.801188132572221</v>
      </c>
    </row>
    <row r="79" spans="1:12" x14ac:dyDescent="0.25">
      <c r="C79" s="38">
        <f>((1+C78/2)^C26)</f>
        <v>1.0174956724339885</v>
      </c>
      <c r="D79" s="38">
        <f>((1+D78/2)^D26)</f>
        <v>1.0085229521843966</v>
      </c>
      <c r="E79" s="38">
        <f>((1+E78/2)^E26)</f>
        <v>1.0090524142232669</v>
      </c>
      <c r="I79" s="13" t="s">
        <v>50</v>
      </c>
      <c r="J79" s="23">
        <v>-1.1389452294532752E-2</v>
      </c>
      <c r="K79" s="23">
        <v>-1.8087850464071544E-2</v>
      </c>
      <c r="L79" s="24">
        <v>-2.2709888922507391E-2</v>
      </c>
    </row>
    <row r="80" spans="1:12" ht="15.75" thickBot="1" x14ac:dyDescent="0.3">
      <c r="B80" s="1" t="s">
        <v>51</v>
      </c>
      <c r="C80" s="1">
        <f>C17/C9*C8</f>
        <v>1.375</v>
      </c>
      <c r="D80" s="1">
        <f>D17/D9*D8</f>
        <v>1.25</v>
      </c>
      <c r="E80" s="1">
        <f>E17/E9*E8</f>
        <v>1.625</v>
      </c>
      <c r="I80" s="41" t="s">
        <v>52</v>
      </c>
      <c r="J80" s="42"/>
      <c r="K80" s="42"/>
      <c r="L80" s="26">
        <v>-1.8198552093537206E-2</v>
      </c>
    </row>
    <row r="81" spans="2:5" x14ac:dyDescent="0.25">
      <c r="B81" s="1" t="s">
        <v>53</v>
      </c>
      <c r="C81" s="1">
        <f>(1-(1/(1+C78/2)^C40))/(C78/2)</f>
        <v>9.8568274824996269</v>
      </c>
      <c r="D81" s="1">
        <f t="shared" ref="D81:E81" si="11">(1-(1/(1+D78/2)^D40))/(D78/2)</f>
        <v>14.291872838145807</v>
      </c>
      <c r="E81" s="1">
        <f t="shared" si="11"/>
        <v>18.045119769878596</v>
      </c>
    </row>
    <row r="82" spans="2:5" x14ac:dyDescent="0.25">
      <c r="B82" s="1" t="s">
        <v>54</v>
      </c>
      <c r="C82" s="1">
        <f>1/((1+C78/2)^C40)</f>
        <v>0.81518896734727753</v>
      </c>
      <c r="D82" s="1">
        <f t="shared" ref="D82:E82" si="12">1/((1+D78/2)^D40)</f>
        <v>0.71416265825731384</v>
      </c>
      <c r="E82" s="1">
        <f t="shared" si="12"/>
        <v>0.61654301395980671</v>
      </c>
    </row>
    <row r="83" spans="2:5" x14ac:dyDescent="0.25">
      <c r="B83" s="7" t="s">
        <v>49</v>
      </c>
      <c r="C83" s="39">
        <f>C79*(C80*C81+C8*C82)</f>
        <v>96.735383696814864</v>
      </c>
      <c r="D83" s="39">
        <f>D79*(D80*D81+D8*D82)</f>
        <v>90.042045478265749</v>
      </c>
      <c r="E83" s="39">
        <f>E79*(E80*E81+E8*E82)</f>
        <v>91.801188132572221</v>
      </c>
    </row>
    <row r="95" spans="2:5" x14ac:dyDescent="0.25">
      <c r="B95" s="1" t="s">
        <v>55</v>
      </c>
      <c r="C95" s="1">
        <v>2</v>
      </c>
      <c r="D95" s="1">
        <v>3</v>
      </c>
      <c r="E95" s="1">
        <v>4</v>
      </c>
    </row>
    <row r="96" spans="2:5" x14ac:dyDescent="0.25">
      <c r="B96" s="1" t="s">
        <v>56</v>
      </c>
      <c r="C96" s="40">
        <f>C6</f>
        <v>46447</v>
      </c>
      <c r="D96" s="40">
        <f>D6</f>
        <v>47635</v>
      </c>
      <c r="E96" s="40">
        <f>E6</f>
        <v>48731</v>
      </c>
    </row>
    <row r="97" spans="1:5" x14ac:dyDescent="0.25">
      <c r="B97" s="1" t="s">
        <v>0</v>
      </c>
      <c r="C97" s="3">
        <f>C20</f>
        <v>97.849839779005521</v>
      </c>
      <c r="D97" s="3">
        <f t="shared" ref="D97:E98" si="13">D20</f>
        <v>91.700714285714298</v>
      </c>
      <c r="E97" s="3">
        <f t="shared" si="13"/>
        <v>93.934428571428569</v>
      </c>
    </row>
    <row r="98" spans="1:5" x14ac:dyDescent="0.25">
      <c r="B98" s="1" t="s">
        <v>57</v>
      </c>
      <c r="C98" s="7">
        <f>C21</f>
        <v>3.4999090448898797E-2</v>
      </c>
      <c r="D98" s="7">
        <f t="shared" si="13"/>
        <v>3.7499983904106721E-2</v>
      </c>
      <c r="E98" s="7">
        <f t="shared" si="13"/>
        <v>3.9999799494849581E-2</v>
      </c>
    </row>
    <row r="99" spans="1:5" x14ac:dyDescent="0.25">
      <c r="B99" s="1" t="s">
        <v>5</v>
      </c>
      <c r="C99" s="37">
        <f>C78</f>
        <v>3.7499090448898799E-2</v>
      </c>
      <c r="D99" s="37">
        <f t="shared" ref="D99:E99" si="14">D78</f>
        <v>3.9999983904106723E-2</v>
      </c>
      <c r="E99" s="37">
        <f t="shared" si="14"/>
        <v>4.2499799494849583E-2</v>
      </c>
    </row>
    <row r="100" spans="1:5" x14ac:dyDescent="0.25">
      <c r="B100" s="1" t="s">
        <v>58</v>
      </c>
      <c r="C100" s="3">
        <f>C83</f>
        <v>96.735383696814864</v>
      </c>
      <c r="D100" s="3">
        <f t="shared" ref="D100:E100" si="15">D83</f>
        <v>90.042045478265749</v>
      </c>
      <c r="E100" s="3">
        <f t="shared" si="15"/>
        <v>91.801188132572221</v>
      </c>
    </row>
    <row r="101" spans="1:5" x14ac:dyDescent="0.25">
      <c r="B101" s="1" t="s">
        <v>50</v>
      </c>
      <c r="C101" s="2">
        <f>(C100-C97)/C97</f>
        <v>-1.1389452294532752E-2</v>
      </c>
      <c r="D101" s="2">
        <f t="shared" ref="D101:E101" si="16">(D100-D97)/D97</f>
        <v>-1.8087850464071544E-2</v>
      </c>
      <c r="E101" s="2">
        <f t="shared" si="16"/>
        <v>-2.2709888922507391E-2</v>
      </c>
    </row>
    <row r="102" spans="1:5" x14ac:dyDescent="0.25">
      <c r="B102" s="1" t="s">
        <v>59</v>
      </c>
    </row>
    <row r="105" spans="1:5" x14ac:dyDescent="0.25">
      <c r="A105" s="1" t="s">
        <v>52</v>
      </c>
      <c r="B105" s="7">
        <f>C68*C101+D68*D101+E68*E101</f>
        <v>-1.8198552093537206E-2</v>
      </c>
    </row>
  </sheetData>
  <mergeCells count="1">
    <mergeCell ref="I80:K8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duration convxity of bond</vt:lpstr>
    </vt:vector>
  </TitlesOfParts>
  <Company>University of Cambridge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Yazann Romahi</dc:creator>
  <cp:lastModifiedBy>johan</cp:lastModifiedBy>
  <dcterms:created xsi:type="dcterms:W3CDTF">2002-08-14T18:48:00Z</dcterms:created>
  <dcterms:modified xsi:type="dcterms:W3CDTF">2023-06-15T00:20:48Z</dcterms:modified>
</cp:coreProperties>
</file>